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Ing Pablo\Downloads\"/>
    </mc:Choice>
  </mc:AlternateContent>
  <xr:revisionPtr revIDLastSave="0" documentId="8_{2F06D1EF-EC31-4690-84CB-81202DEC850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RESUMEN. TXT" sheetId="4" r:id="rId1"/>
    <sheet name="LISTADOS" sheetId="5" r:id="rId2"/>
    <sheet name="CALCULO BS" sheetId="1" r:id="rId3"/>
    <sheet name="CALCULO BONO " sheetId="2" r:id="rId4"/>
    <sheet name="RC PAGO BS LOS YANEZ" sheetId="3" r:id="rId5"/>
  </sheets>
  <externalReferences>
    <externalReference r:id="rId6"/>
    <externalReference r:id="rId7"/>
  </externalReferences>
  <definedNames>
    <definedName name="_xlnm._FilterDatabase" localSheetId="3" hidden="1">'CALCULO BONO '!$A$7:$P$19</definedName>
    <definedName name="_xlnm._FilterDatabase" localSheetId="2" hidden="1">'CALCULO BS'!$A$6:$AT$14</definedName>
    <definedName name="_xlnm._FilterDatabase" localSheetId="1" hidden="1">LISTADOS!$A$6:$Q$19</definedName>
    <definedName name="_xlnm._FilterDatabase" localSheetId="0" hidden="1">'RESUMEN. TXT'!$B$2:$M$12</definedName>
    <definedName name="_xlnm.Print_Area" localSheetId="3">'CALCULO BONO '!$1:$18</definedName>
    <definedName name="_xlnm.Print_Area" localSheetId="1">LISTADOS!$B$6:$F$19</definedName>
    <definedName name="_xlnm.Print_Area" localSheetId="4">'RC PAGO BS LOS YANEZ'!$A$1:$G$249</definedName>
    <definedName name="_xlnm.Print_Area" localSheetId="0">'RESUMEN. TXT'!$B$1:$M$11</definedName>
    <definedName name="_xlnm.Print_Titles" localSheetId="3">'CALCULO BONO '!$7:$7</definedName>
    <definedName name="_xlnm.Print_Titles" localSheetId="0">'RESUMEN. TXT'!$2:$2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8" i="3" l="1"/>
  <c r="D237" i="3"/>
  <c r="D118" i="3"/>
  <c r="D8" i="3"/>
  <c r="N19" i="5"/>
  <c r="D228" i="3" s="1"/>
  <c r="N17" i="5"/>
  <c r="D175" i="3" s="1"/>
  <c r="N16" i="5"/>
  <c r="N15" i="5"/>
  <c r="D147" i="3" s="1"/>
  <c r="N14" i="5"/>
  <c r="N13" i="5"/>
  <c r="N12" i="5"/>
  <c r="N11" i="5"/>
  <c r="D90" i="3" s="1"/>
  <c r="N10" i="5"/>
  <c r="N9" i="5"/>
  <c r="D62" i="3" s="1"/>
  <c r="N8" i="5"/>
  <c r="D35" i="3" s="1"/>
  <c r="N7" i="5"/>
  <c r="D234" i="3"/>
  <c r="D233" i="3"/>
  <c r="D208" i="3"/>
  <c r="D207" i="3"/>
  <c r="D181" i="3"/>
  <c r="D180" i="3"/>
  <c r="D153" i="3"/>
  <c r="D152" i="3"/>
  <c r="D124" i="3"/>
  <c r="D123" i="3"/>
  <c r="D96" i="3"/>
  <c r="D95" i="3"/>
  <c r="D68" i="3"/>
  <c r="D67" i="3"/>
  <c r="D41" i="3"/>
  <c r="D40" i="3"/>
  <c r="O21" i="5"/>
  <c r="O22" i="5" s="1"/>
  <c r="O24" i="5" s="1"/>
  <c r="D14" i="3"/>
  <c r="D13" i="3"/>
  <c r="M14" i="1"/>
  <c r="N14" i="1" s="1"/>
  <c r="M12" i="1"/>
  <c r="N12" i="1" s="1"/>
  <c r="M11" i="1"/>
  <c r="N11" i="1" s="1"/>
  <c r="M10" i="1"/>
  <c r="N10" i="1" s="1"/>
  <c r="M9" i="1"/>
  <c r="N9" i="1" s="1"/>
  <c r="M7" i="1"/>
  <c r="N7" i="1" s="1"/>
  <c r="R7" i="1" s="1"/>
  <c r="O19" i="5"/>
  <c r="O17" i="5"/>
  <c r="O16" i="5"/>
  <c r="O15" i="5"/>
  <c r="O14" i="5"/>
  <c r="O13" i="5"/>
  <c r="O12" i="5"/>
  <c r="O11" i="5"/>
  <c r="O10" i="5"/>
  <c r="O9" i="5"/>
  <c r="O8" i="5"/>
  <c r="M19" i="5"/>
  <c r="P10" i="4" s="1"/>
  <c r="M18" i="5"/>
  <c r="N18" i="5" s="1"/>
  <c r="M13" i="1" s="1"/>
  <c r="N13" i="1" s="1"/>
  <c r="M17" i="5"/>
  <c r="P8" i="4" s="1"/>
  <c r="M16" i="5"/>
  <c r="M15" i="5"/>
  <c r="P7" i="4" s="1"/>
  <c r="M14" i="5"/>
  <c r="M13" i="5"/>
  <c r="M12" i="5"/>
  <c r="M11" i="5"/>
  <c r="M10" i="5"/>
  <c r="M9" i="5"/>
  <c r="P5" i="4" s="1"/>
  <c r="M8" i="5"/>
  <c r="P4" i="4" s="1"/>
  <c r="M7" i="5"/>
  <c r="O7" i="5"/>
  <c r="R8" i="5" s="1"/>
  <c r="P3" i="4" l="1"/>
  <c r="P7" i="5"/>
  <c r="P6" i="4"/>
  <c r="P11" i="5"/>
  <c r="Q11" i="5" s="1"/>
  <c r="P9" i="4"/>
  <c r="M8" i="1"/>
  <c r="N8" i="1" s="1"/>
  <c r="O25" i="5"/>
  <c r="O18" i="5"/>
  <c r="D202" i="3"/>
  <c r="D51" i="3"/>
  <c r="D244" i="3"/>
  <c r="D241" i="3"/>
  <c r="D240" i="3"/>
  <c r="D239" i="3"/>
  <c r="E236" i="3"/>
  <c r="D236" i="3"/>
  <c r="E235" i="3"/>
  <c r="D235" i="3"/>
  <c r="G230" i="3"/>
  <c r="E230" i="3"/>
  <c r="C230" i="3"/>
  <c r="D227" i="3"/>
  <c r="D226" i="3"/>
  <c r="D225" i="3"/>
  <c r="D182" i="3"/>
  <c r="D156" i="3"/>
  <c r="D45" i="3"/>
  <c r="D72" i="3"/>
  <c r="D69" i="3"/>
  <c r="P19" i="5"/>
  <c r="P18" i="5"/>
  <c r="Q18" i="5" s="1"/>
  <c r="P17" i="5"/>
  <c r="P16" i="5"/>
  <c r="P15" i="5"/>
  <c r="P14" i="5"/>
  <c r="P13" i="5"/>
  <c r="P12" i="5"/>
  <c r="P10" i="5"/>
  <c r="P9" i="5"/>
  <c r="P8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D22" i="3"/>
  <c r="B1" i="4"/>
  <c r="D217" i="3"/>
  <c r="D214" i="3"/>
  <c r="D213" i="3"/>
  <c r="E212" i="3"/>
  <c r="D212" i="3"/>
  <c r="E211" i="3"/>
  <c r="D211" i="3"/>
  <c r="E210" i="3"/>
  <c r="D210" i="3"/>
  <c r="E209" i="3"/>
  <c r="D209" i="3"/>
  <c r="G204" i="3"/>
  <c r="E204" i="3"/>
  <c r="C204" i="3"/>
  <c r="G215" i="3" s="1"/>
  <c r="D201" i="3"/>
  <c r="D200" i="3"/>
  <c r="D199" i="3"/>
  <c r="D190" i="3"/>
  <c r="D187" i="3"/>
  <c r="D186" i="3"/>
  <c r="E185" i="3"/>
  <c r="D185" i="3"/>
  <c r="E184" i="3"/>
  <c r="D184" i="3"/>
  <c r="E183" i="3"/>
  <c r="D183" i="3"/>
  <c r="G177" i="3"/>
  <c r="E177" i="3"/>
  <c r="C177" i="3"/>
  <c r="G188" i="3" s="1"/>
  <c r="D174" i="3"/>
  <c r="D173" i="3"/>
  <c r="D172" i="3"/>
  <c r="D162" i="3"/>
  <c r="D159" i="3"/>
  <c r="D158" i="3"/>
  <c r="E157" i="3"/>
  <c r="D157" i="3"/>
  <c r="E155" i="3"/>
  <c r="D155" i="3"/>
  <c r="E154" i="3"/>
  <c r="D154" i="3"/>
  <c r="G149" i="3"/>
  <c r="E149" i="3"/>
  <c r="C149" i="3"/>
  <c r="G160" i="3" s="1"/>
  <c r="D146" i="3"/>
  <c r="D145" i="3"/>
  <c r="D144" i="3"/>
  <c r="D133" i="3"/>
  <c r="D130" i="3"/>
  <c r="D129" i="3"/>
  <c r="E128" i="3"/>
  <c r="D128" i="3"/>
  <c r="E127" i="3"/>
  <c r="D127" i="3"/>
  <c r="E126" i="3"/>
  <c r="D126" i="3"/>
  <c r="E125" i="3"/>
  <c r="D125" i="3"/>
  <c r="G120" i="3"/>
  <c r="E120" i="3"/>
  <c r="C120" i="3"/>
  <c r="G131" i="3" s="1"/>
  <c r="D117" i="3"/>
  <c r="D116" i="3"/>
  <c r="D115" i="3"/>
  <c r="D106" i="3"/>
  <c r="D103" i="3"/>
  <c r="D102" i="3"/>
  <c r="E101" i="3"/>
  <c r="D101" i="3"/>
  <c r="E100" i="3"/>
  <c r="D100" i="3"/>
  <c r="E98" i="3"/>
  <c r="D98" i="3"/>
  <c r="E97" i="3"/>
  <c r="D97" i="3"/>
  <c r="G92" i="3"/>
  <c r="E92" i="3"/>
  <c r="C92" i="3"/>
  <c r="G240" i="3" s="1"/>
  <c r="D89" i="3"/>
  <c r="D88" i="3"/>
  <c r="D87" i="3"/>
  <c r="D78" i="3"/>
  <c r="E73" i="3"/>
  <c r="D73" i="3"/>
  <c r="E71" i="3"/>
  <c r="E70" i="3"/>
  <c r="D70" i="3"/>
  <c r="G64" i="3"/>
  <c r="E64" i="3"/>
  <c r="C64" i="3"/>
  <c r="D61" i="3"/>
  <c r="D60" i="3"/>
  <c r="D59" i="3"/>
  <c r="E46" i="3"/>
  <c r="D46" i="3"/>
  <c r="E44" i="3"/>
  <c r="D44" i="3"/>
  <c r="D43" i="3"/>
  <c r="E42" i="3"/>
  <c r="D42" i="3"/>
  <c r="G37" i="3"/>
  <c r="E37" i="3"/>
  <c r="C37" i="3"/>
  <c r="D34" i="3"/>
  <c r="D33" i="3"/>
  <c r="D32" i="3"/>
  <c r="D23" i="3"/>
  <c r="D20" i="3"/>
  <c r="D19" i="3"/>
  <c r="E18" i="3"/>
  <c r="D18" i="3"/>
  <c r="E17" i="3"/>
  <c r="D17" i="3"/>
  <c r="D16" i="3"/>
  <c r="E15" i="3"/>
  <c r="D15" i="3"/>
  <c r="G10" i="3"/>
  <c r="E10" i="3"/>
  <c r="C10" i="3"/>
  <c r="G21" i="3" s="1"/>
  <c r="D7" i="3"/>
  <c r="D6" i="3"/>
  <c r="D5" i="3"/>
  <c r="A1" i="3"/>
  <c r="Q19" i="2"/>
  <c r="H19" i="2"/>
  <c r="Q18" i="2"/>
  <c r="H18" i="2"/>
  <c r="G18" i="2"/>
  <c r="F18" i="2"/>
  <c r="E18" i="2"/>
  <c r="D18" i="2"/>
  <c r="C18" i="2"/>
  <c r="B18" i="2"/>
  <c r="Q17" i="2"/>
  <c r="H17" i="2"/>
  <c r="G17" i="2"/>
  <c r="F17" i="2"/>
  <c r="E17" i="2"/>
  <c r="D17" i="2"/>
  <c r="C17" i="2"/>
  <c r="B17" i="2"/>
  <c r="Q16" i="2"/>
  <c r="H16" i="2"/>
  <c r="G16" i="2"/>
  <c r="F16" i="2"/>
  <c r="E16" i="2"/>
  <c r="D16" i="2"/>
  <c r="C16" i="2"/>
  <c r="B16" i="2"/>
  <c r="Q15" i="2"/>
  <c r="H15" i="2"/>
  <c r="G15" i="2"/>
  <c r="F15" i="2"/>
  <c r="E15" i="2"/>
  <c r="D15" i="2"/>
  <c r="C15" i="2"/>
  <c r="B15" i="2"/>
  <c r="Q14" i="2"/>
  <c r="H14" i="2"/>
  <c r="G14" i="2"/>
  <c r="F14" i="2"/>
  <c r="E14" i="2"/>
  <c r="D14" i="2"/>
  <c r="C14" i="2"/>
  <c r="B14" i="2"/>
  <c r="Q13" i="2"/>
  <c r="H13" i="2"/>
  <c r="G13" i="2"/>
  <c r="F13" i="2"/>
  <c r="E13" i="2"/>
  <c r="D13" i="2"/>
  <c r="C13" i="2"/>
  <c r="B13" i="2"/>
  <c r="Q12" i="2"/>
  <c r="H12" i="2"/>
  <c r="G12" i="2"/>
  <c r="F12" i="2"/>
  <c r="E12" i="2"/>
  <c r="D12" i="2"/>
  <c r="C12" i="2"/>
  <c r="B12" i="2"/>
  <c r="I12" i="2" s="1"/>
  <c r="Q11" i="2"/>
  <c r="H11" i="2"/>
  <c r="G11" i="2"/>
  <c r="F11" i="2"/>
  <c r="E11" i="2"/>
  <c r="D11" i="2"/>
  <c r="C11" i="2"/>
  <c r="B11" i="2"/>
  <c r="Q10" i="2"/>
  <c r="H10" i="2"/>
  <c r="G10" i="2"/>
  <c r="F10" i="2"/>
  <c r="E10" i="2"/>
  <c r="D10" i="2"/>
  <c r="C10" i="2"/>
  <c r="B10" i="2"/>
  <c r="Q9" i="2"/>
  <c r="H9" i="2"/>
  <c r="G9" i="2"/>
  <c r="F9" i="2"/>
  <c r="E9" i="2"/>
  <c r="D9" i="2"/>
  <c r="C9" i="2"/>
  <c r="B9" i="2"/>
  <c r="Q8" i="2"/>
  <c r="H8" i="2"/>
  <c r="G8" i="2"/>
  <c r="F8" i="2"/>
  <c r="E8" i="2"/>
  <c r="D8" i="2"/>
  <c r="C8" i="2"/>
  <c r="B8" i="2"/>
  <c r="C5" i="2"/>
  <c r="C4" i="2"/>
  <c r="C3" i="2"/>
  <c r="AF16" i="1"/>
  <c r="AU16" i="1"/>
  <c r="AZ14" i="1"/>
  <c r="AK14" i="1"/>
  <c r="AJ14" i="1"/>
  <c r="AZ13" i="1"/>
  <c r="AK13" i="1"/>
  <c r="AJ13" i="1"/>
  <c r="AZ12" i="1"/>
  <c r="AK12" i="1"/>
  <c r="AJ12" i="1"/>
  <c r="E12" i="1"/>
  <c r="AZ11" i="1"/>
  <c r="AK11" i="1"/>
  <c r="AJ11" i="1"/>
  <c r="R11" i="1"/>
  <c r="E11" i="1"/>
  <c r="AZ10" i="1"/>
  <c r="AK10" i="1"/>
  <c r="AJ10" i="1"/>
  <c r="X10" i="1"/>
  <c r="E10" i="1"/>
  <c r="AZ9" i="1"/>
  <c r="AK9" i="1"/>
  <c r="AJ9" i="1"/>
  <c r="V9" i="1"/>
  <c r="E69" i="3" s="1"/>
  <c r="E9" i="1"/>
  <c r="AZ8" i="1"/>
  <c r="AK8" i="1"/>
  <c r="AJ8" i="1"/>
  <c r="E8" i="1"/>
  <c r="A8" i="1"/>
  <c r="A9" i="1" s="1"/>
  <c r="A10" i="1" s="1"/>
  <c r="A11" i="1" s="1"/>
  <c r="A12" i="1" s="1"/>
  <c r="A13" i="1" s="1"/>
  <c r="A14" i="1" s="1"/>
  <c r="AZ7" i="1"/>
  <c r="AK7" i="1"/>
  <c r="AJ7" i="1"/>
  <c r="X7" i="1"/>
  <c r="E16" i="3" s="1"/>
  <c r="E7" i="1"/>
  <c r="D4" i="1"/>
  <c r="E4" i="1" s="1"/>
  <c r="F4" i="1" s="1"/>
  <c r="G4" i="1" s="1"/>
  <c r="H4" i="1" s="1"/>
  <c r="I4" i="1" s="1"/>
  <c r="J4" i="1" s="1"/>
  <c r="K4" i="1" s="1"/>
  <c r="L4" i="1" s="1"/>
  <c r="M4" i="1" s="1"/>
  <c r="N4" i="1" s="1"/>
  <c r="O4" i="1" s="1"/>
  <c r="P4" i="1" s="1"/>
  <c r="Q4" i="1" s="1"/>
  <c r="R4" i="1" s="1"/>
  <c r="S4" i="1" s="1"/>
  <c r="T4" i="1" s="1"/>
  <c r="U4" i="1" s="1"/>
  <c r="V4" i="1" s="1"/>
  <c r="W4" i="1" s="1"/>
  <c r="X4" i="1" s="1"/>
  <c r="Y4" i="1" s="1"/>
  <c r="Z4" i="1" s="1"/>
  <c r="AA4" i="1" s="1"/>
  <c r="AB4" i="1" s="1"/>
  <c r="AC4" i="1" s="1"/>
  <c r="AD4" i="1" s="1"/>
  <c r="AE4" i="1" s="1"/>
  <c r="AF4" i="1" s="1"/>
  <c r="AG4" i="1" s="1"/>
  <c r="AH4" i="1" s="1"/>
  <c r="AI4" i="1" s="1"/>
  <c r="AJ4" i="1" s="1"/>
  <c r="AK4" i="1" s="1"/>
  <c r="AL4" i="1" s="1"/>
  <c r="AM4" i="1" s="1"/>
  <c r="AN4" i="1" s="1"/>
  <c r="AO4" i="1" s="1"/>
  <c r="AP4" i="1" s="1"/>
  <c r="AQ4" i="1" s="1"/>
  <c r="AR4" i="1" s="1"/>
  <c r="AS4" i="1" s="1"/>
  <c r="AT4" i="1" s="1"/>
  <c r="AU4" i="1" s="1"/>
  <c r="AV4" i="1" s="1"/>
  <c r="AW4" i="1" s="1"/>
  <c r="AX4" i="1" s="1"/>
  <c r="AY4" i="1" s="1"/>
  <c r="AZ4" i="1" s="1"/>
  <c r="BA4" i="1" s="1"/>
  <c r="BB4" i="1" s="1"/>
  <c r="J17" i="2" l="1"/>
  <c r="J10" i="2"/>
  <c r="I10" i="2"/>
  <c r="J14" i="2"/>
  <c r="I14" i="2"/>
  <c r="M14" i="2" s="1"/>
  <c r="J18" i="2"/>
  <c r="I18" i="2"/>
  <c r="J13" i="2"/>
  <c r="I13" i="2"/>
  <c r="M13" i="2" s="1"/>
  <c r="J11" i="2"/>
  <c r="I11" i="2"/>
  <c r="M11" i="2" s="1"/>
  <c r="J15" i="2"/>
  <c r="I15" i="2"/>
  <c r="J9" i="2"/>
  <c r="Q9" i="5"/>
  <c r="Q13" i="5"/>
  <c r="Q17" i="5"/>
  <c r="Q8" i="5"/>
  <c r="I9" i="2" s="1"/>
  <c r="M9" i="2" s="1"/>
  <c r="L4" i="4" s="1"/>
  <c r="Q12" i="5"/>
  <c r="Q16" i="5"/>
  <c r="I17" i="2" s="1"/>
  <c r="M17" i="2" s="1"/>
  <c r="Q7" i="5"/>
  <c r="R7" i="5" s="1"/>
  <c r="Q10" i="5"/>
  <c r="Q14" i="5"/>
  <c r="M15" i="2"/>
  <c r="Q15" i="5"/>
  <c r="I16" i="2" s="1"/>
  <c r="Q19" i="5"/>
  <c r="I19" i="2" s="1"/>
  <c r="M19" i="2" s="1"/>
  <c r="L10" i="4" s="1"/>
  <c r="E152" i="3"/>
  <c r="E123" i="3"/>
  <c r="G47" i="3"/>
  <c r="G48" i="3"/>
  <c r="M10" i="2"/>
  <c r="L5" i="4" s="1"/>
  <c r="M18" i="2"/>
  <c r="L8" i="4" s="1"/>
  <c r="G241" i="3"/>
  <c r="G103" i="3"/>
  <c r="G129" i="3"/>
  <c r="G186" i="3"/>
  <c r="G214" i="3"/>
  <c r="G104" i="3"/>
  <c r="G158" i="3"/>
  <c r="G19" i="3"/>
  <c r="G20" i="3"/>
  <c r="G75" i="3"/>
  <c r="G159" i="3"/>
  <c r="G187" i="3"/>
  <c r="G213" i="3"/>
  <c r="G74" i="3"/>
  <c r="G102" i="3"/>
  <c r="G130" i="3"/>
  <c r="J12" i="2"/>
  <c r="J8" i="2"/>
  <c r="J16" i="2"/>
  <c r="AQ14" i="1"/>
  <c r="P14" i="1"/>
  <c r="Z14" i="1" s="1"/>
  <c r="O12" i="1"/>
  <c r="AC12" i="1" s="1"/>
  <c r="V12" i="1"/>
  <c r="E182" i="3" s="1"/>
  <c r="P7" i="1"/>
  <c r="Z7" i="1" s="1"/>
  <c r="V14" i="1"/>
  <c r="AO14" i="1"/>
  <c r="E13" i="3"/>
  <c r="AQ7" i="1"/>
  <c r="X14" i="1"/>
  <c r="O9" i="1"/>
  <c r="AC9" i="1" s="1"/>
  <c r="O14" i="1"/>
  <c r="AC14" i="1" s="1"/>
  <c r="E237" i="3" s="1"/>
  <c r="AO8" i="1"/>
  <c r="X8" i="1"/>
  <c r="E43" i="3" s="1"/>
  <c r="P8" i="1"/>
  <c r="Z8" i="1" s="1"/>
  <c r="V8" i="1"/>
  <c r="O8" i="1"/>
  <c r="R8" i="1"/>
  <c r="AQ8" i="1"/>
  <c r="G51" i="3" s="1"/>
  <c r="AO13" i="1"/>
  <c r="X13" i="1"/>
  <c r="P13" i="1"/>
  <c r="Z13" i="1" s="1"/>
  <c r="V13" i="1"/>
  <c r="O13" i="1"/>
  <c r="R13" i="1"/>
  <c r="AQ13" i="1"/>
  <c r="V10" i="1"/>
  <c r="O10" i="1"/>
  <c r="AO10" i="1"/>
  <c r="V7" i="1"/>
  <c r="O7" i="1"/>
  <c r="AO7" i="1"/>
  <c r="G22" i="3" s="1"/>
  <c r="P10" i="1"/>
  <c r="Z10" i="1" s="1"/>
  <c r="AQ10" i="1"/>
  <c r="V11" i="1"/>
  <c r="O11" i="1"/>
  <c r="AO11" i="1"/>
  <c r="P11" i="1"/>
  <c r="Z11" i="1" s="1"/>
  <c r="AQ11" i="1"/>
  <c r="AQ12" i="1"/>
  <c r="R12" i="1"/>
  <c r="AO12" i="1"/>
  <c r="X12" i="1"/>
  <c r="P12" i="1"/>
  <c r="Z12" i="1" s="1"/>
  <c r="AQ9" i="1"/>
  <c r="R9" i="1"/>
  <c r="AO9" i="1"/>
  <c r="X9" i="1"/>
  <c r="P9" i="1"/>
  <c r="Z9" i="1" s="1"/>
  <c r="D71" i="3" s="1"/>
  <c r="R10" i="1"/>
  <c r="X11" i="1"/>
  <c r="AJ16" i="1"/>
  <c r="AK16" i="1"/>
  <c r="R14" i="1"/>
  <c r="M16" i="2" l="1"/>
  <c r="L7" i="4" s="1"/>
  <c r="I8" i="2"/>
  <c r="I20" i="2" s="1"/>
  <c r="M12" i="2"/>
  <c r="L6" i="4" s="1"/>
  <c r="E233" i="3"/>
  <c r="E95" i="3"/>
  <c r="E67" i="3"/>
  <c r="E40" i="3"/>
  <c r="E180" i="3"/>
  <c r="E207" i="3"/>
  <c r="G219" i="3"/>
  <c r="G192" i="3"/>
  <c r="AE14" i="1"/>
  <c r="G135" i="3"/>
  <c r="G108" i="3"/>
  <c r="G164" i="3"/>
  <c r="G25" i="3"/>
  <c r="AE9" i="1"/>
  <c r="T9" i="1" s="1"/>
  <c r="AE12" i="1"/>
  <c r="T12" i="1" s="1"/>
  <c r="AQ16" i="1"/>
  <c r="R16" i="1"/>
  <c r="Z16" i="1"/>
  <c r="AE7" i="1"/>
  <c r="AC7" i="1"/>
  <c r="V16" i="1"/>
  <c r="AE10" i="1"/>
  <c r="AC10" i="1"/>
  <c r="AE8" i="1"/>
  <c r="E45" i="3" s="1"/>
  <c r="AC8" i="1"/>
  <c r="AE11" i="1"/>
  <c r="AC11" i="1"/>
  <c r="E156" i="3" s="1"/>
  <c r="AO16" i="1"/>
  <c r="AE13" i="1"/>
  <c r="AC13" i="1"/>
  <c r="M8" i="2" l="1"/>
  <c r="L3" i="4" s="1"/>
  <c r="L11" i="4"/>
  <c r="T14" i="1"/>
  <c r="E234" i="3" s="1"/>
  <c r="E246" i="3" s="1"/>
  <c r="E238" i="3"/>
  <c r="T10" i="1"/>
  <c r="E96" i="3" s="1"/>
  <c r="E108" i="3" s="1"/>
  <c r="G109" i="3" s="1"/>
  <c r="T8" i="1"/>
  <c r="T13" i="1"/>
  <c r="T7" i="1"/>
  <c r="E14" i="3" s="1"/>
  <c r="E25" i="3" s="1"/>
  <c r="G26" i="3" s="1"/>
  <c r="T11" i="1"/>
  <c r="E124" i="3" s="1"/>
  <c r="E135" i="3" s="1"/>
  <c r="G136" i="3" s="1"/>
  <c r="AH12" i="1"/>
  <c r="AM12" i="1" s="1"/>
  <c r="AS12" i="1" s="1"/>
  <c r="AT12" i="1" s="1"/>
  <c r="K8" i="4" s="1"/>
  <c r="N8" i="4" s="1"/>
  <c r="O8" i="4" s="1"/>
  <c r="E181" i="3"/>
  <c r="E192" i="3" s="1"/>
  <c r="G193" i="3" s="1"/>
  <c r="AH14" i="1"/>
  <c r="AM14" i="1" s="1"/>
  <c r="E72" i="3"/>
  <c r="AH10" i="1"/>
  <c r="AM10" i="1" s="1"/>
  <c r="AS10" i="1" s="1"/>
  <c r="AT10" i="1" s="1"/>
  <c r="K6" i="4" s="1"/>
  <c r="N6" i="4" s="1"/>
  <c r="O6" i="4" s="1"/>
  <c r="AE16" i="1"/>
  <c r="AC16" i="1"/>
  <c r="AS14" i="1" l="1"/>
  <c r="AT14" i="1" s="1"/>
  <c r="K10" i="4" s="1"/>
  <c r="N10" i="4" s="1"/>
  <c r="O10" i="4" s="1"/>
  <c r="G242" i="3"/>
  <c r="G246" i="3" s="1"/>
  <c r="G247" i="3" s="1"/>
  <c r="AH11" i="1"/>
  <c r="AM11" i="1" s="1"/>
  <c r="AS11" i="1" s="1"/>
  <c r="AT11" i="1" s="1"/>
  <c r="K7" i="4" s="1"/>
  <c r="N7" i="4" s="1"/>
  <c r="O7" i="4" s="1"/>
  <c r="E153" i="3"/>
  <c r="E164" i="3" s="1"/>
  <c r="G165" i="3" s="1"/>
  <c r="AH8" i="1"/>
  <c r="AM8" i="1" s="1"/>
  <c r="E41" i="3"/>
  <c r="E53" i="3" s="1"/>
  <c r="AH13" i="1"/>
  <c r="AM13" i="1" s="1"/>
  <c r="AS13" i="1" s="1"/>
  <c r="AT13" i="1" s="1"/>
  <c r="K9" i="4" s="1"/>
  <c r="N9" i="4" s="1"/>
  <c r="O9" i="4" s="1"/>
  <c r="E208" i="3"/>
  <c r="E219" i="3" s="1"/>
  <c r="G220" i="3" s="1"/>
  <c r="AH9" i="1"/>
  <c r="AM9" i="1" s="1"/>
  <c r="E68" i="3"/>
  <c r="E80" i="3" s="1"/>
  <c r="T16" i="1"/>
  <c r="AH7" i="1"/>
  <c r="AS9" i="1" l="1"/>
  <c r="AT9" i="1" s="1"/>
  <c r="K5" i="4" s="1"/>
  <c r="N5" i="4" s="1"/>
  <c r="O5" i="4" s="1"/>
  <c r="G76" i="3"/>
  <c r="G80" i="3" s="1"/>
  <c r="G81" i="3" s="1"/>
  <c r="AS8" i="1"/>
  <c r="AT8" i="1" s="1"/>
  <c r="K4" i="4" s="1"/>
  <c r="N4" i="4" s="1"/>
  <c r="O4" i="4" s="1"/>
  <c r="G49" i="3"/>
  <c r="G53" i="3" s="1"/>
  <c r="G54" i="3" s="1"/>
  <c r="AH16" i="1"/>
  <c r="AM7" i="1"/>
  <c r="AS7" i="1" s="1"/>
  <c r="AS16" i="1" l="1"/>
  <c r="AT7" i="1"/>
  <c r="AT16" i="1" l="1"/>
  <c r="AT18" i="1" s="1"/>
  <c r="AT19" i="1" s="1"/>
  <c r="K3" i="4"/>
  <c r="N3" i="4" s="1"/>
  <c r="K11" i="4" l="1"/>
  <c r="O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RECURSOSHUMANOS.GFO</author>
  </authors>
  <commentList>
    <comment ref="AK6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REGIMEN PRESTACIONAL DE EMPLEO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RECURSOSHUMANOS.GFO</author>
  </authors>
  <commentList>
    <comment ref="J7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RECURSOSHUMANOS.GFO:</t>
        </r>
        <r>
          <rPr>
            <sz val="9"/>
            <color indexed="81"/>
            <rFont val="Tahoma"/>
            <family val="2"/>
          </rPr>
          <t xml:space="preserve">
SOLO CALCULAR PARA LOS DOMINGOS</t>
        </r>
      </text>
    </comment>
  </commentList>
</comments>
</file>

<file path=xl/sharedStrings.xml><?xml version="1.0" encoding="utf-8"?>
<sst xmlns="http://schemas.openxmlformats.org/spreadsheetml/2006/main" count="650" uniqueCount="170">
  <si>
    <t>DATOS DEL EMPLEADO</t>
  </si>
  <si>
    <t>SALARIO INTEGRAL</t>
  </si>
  <si>
    <t>ASIGNACIONES</t>
  </si>
  <si>
    <t xml:space="preserve">DEDUCCIONES </t>
  </si>
  <si>
    <t>TOTAL</t>
  </si>
  <si>
    <t>OBSERVACIONES.</t>
  </si>
  <si>
    <t>FARMACIA</t>
  </si>
  <si>
    <t>PAGO BONO</t>
  </si>
  <si>
    <t>N°</t>
  </si>
  <si>
    <t>NOMBRE</t>
  </si>
  <si>
    <t>CI</t>
  </si>
  <si>
    <t>F.INGRESO</t>
  </si>
  <si>
    <t>CARGO</t>
  </si>
  <si>
    <t xml:space="preserve">EMPRESA </t>
  </si>
  <si>
    <t>RIF</t>
  </si>
  <si>
    <t>DIRECCION</t>
  </si>
  <si>
    <t>BANCO</t>
  </si>
  <si>
    <t>N° CUENTA</t>
  </si>
  <si>
    <t>TIPO</t>
  </si>
  <si>
    <t>SALARIO INTEGRAL BS</t>
  </si>
  <si>
    <t>SALARIO DIARIO</t>
  </si>
  <si>
    <t>HORAS</t>
  </si>
  <si>
    <t>REPOSO 33,33%</t>
  </si>
  <si>
    <t>N</t>
  </si>
  <si>
    <t>DIAS LABORADOS</t>
  </si>
  <si>
    <t>DIAS DE DESCANSO</t>
  </si>
  <si>
    <t>DIAS DE DESCANSO / FERIADOS LABORADOS</t>
  </si>
  <si>
    <t>REPOSO 100%</t>
  </si>
  <si>
    <t>TRANSPORTE</t>
  </si>
  <si>
    <t>HORAS EXTRAS DIURNA</t>
  </si>
  <si>
    <t>BONO NOTURNO</t>
  </si>
  <si>
    <t>PAGO EXTRAS</t>
  </si>
  <si>
    <t>BONIFICACION DEL MES</t>
  </si>
  <si>
    <t>TOTAL ASIGNACION</t>
  </si>
  <si>
    <t>N° LUNES</t>
  </si>
  <si>
    <t>IVSS</t>
  </si>
  <si>
    <t>RPE</t>
  </si>
  <si>
    <t>INCE</t>
  </si>
  <si>
    <t>FAOV</t>
  </si>
  <si>
    <t>PERMISO NO REMUNERADO</t>
  </si>
  <si>
    <t>FALTA INJUSTIFICADA</t>
  </si>
  <si>
    <t>RETARDO</t>
  </si>
  <si>
    <t>TOTAL DEDUCIONES</t>
  </si>
  <si>
    <t>NETO PAGAR EN BS.</t>
  </si>
  <si>
    <t>NETO PAGAR EN $</t>
  </si>
  <si>
    <t>OBSERVACIONES</t>
  </si>
  <si>
    <t>DIAS PAGADO</t>
  </si>
  <si>
    <t>DIAS AUSENCIA</t>
  </si>
  <si>
    <t>YEREHIMA CARDENAS JAIME</t>
  </si>
  <si>
    <t xml:space="preserve">FARMACIA LOS YANEZ DE OSPINO, C.A </t>
  </si>
  <si>
    <t>RIF  J-500253052</t>
  </si>
  <si>
    <t>Carrera 3 esquina calle 10, Barrio curazao</t>
  </si>
  <si>
    <t>BANCO MERCANTIL</t>
  </si>
  <si>
    <t>0105-0059-17-0059291494</t>
  </si>
  <si>
    <t>AHORRO</t>
  </si>
  <si>
    <t>1/2 DIA DE PERMISO 09/12/25 ACTIVIDAD ESCOLAR DE LA HIJA</t>
  </si>
  <si>
    <t xml:space="preserve">ADRIANA MORENO MARQUEZ </t>
  </si>
  <si>
    <t>BANCO VENEZUELA</t>
  </si>
  <si>
    <t>0102-0741-0800-0039-1379</t>
  </si>
  <si>
    <t>CORRIENTE</t>
  </si>
  <si>
    <t>FALTA INJUSTIFICADA 08/12/25 Y REPOSO 11/12/25</t>
  </si>
  <si>
    <t>MATERAN CUMANA SKARLETH</t>
  </si>
  <si>
    <t>0102-0346-5900-0142-7271</t>
  </si>
  <si>
    <t>YUSMARY MARQUEZ OCANTO</t>
  </si>
  <si>
    <t>0102-0346-54-0001448357</t>
  </si>
  <si>
    <t>VALLADARES MEDINA EMILIO JOSE</t>
  </si>
  <si>
    <t>BANCO PROVINCIAL</t>
  </si>
  <si>
    <t>0108-2422-26-0100104904</t>
  </si>
  <si>
    <t>NORALYS AZUAJE CONTRERAS</t>
  </si>
  <si>
    <t>BANCO BANESCO</t>
  </si>
  <si>
    <t>0134-0946-36-0001095169</t>
  </si>
  <si>
    <t>GARCIAS BASTIDAS BIANCA ROSSELA</t>
  </si>
  <si>
    <t>0102-0346-58-0106623807</t>
  </si>
  <si>
    <t>HANIREE UGARTE</t>
  </si>
  <si>
    <t>BANCO BANCAMIGA</t>
  </si>
  <si>
    <t>0172-0250-2325-0804-9679</t>
  </si>
  <si>
    <t>PEREZ GORDILLO JEFERSSON ALEXANDER</t>
  </si>
  <si>
    <t>0102-0741-0200-0059-4888</t>
  </si>
  <si>
    <t>LEONARDO ENRRIQUE YANEZ FERRER</t>
  </si>
  <si>
    <t>0108-0064-18-0100331070</t>
  </si>
  <si>
    <t>MOISES SEBASTIAN YANEZ FERRER</t>
  </si>
  <si>
    <t>0108-0064-1401-0032-9645</t>
  </si>
  <si>
    <t>JOSE ADEMIR ALDANA AZUAJE</t>
  </si>
  <si>
    <t>FARMACEUTICO</t>
  </si>
  <si>
    <t>0108-0111-7001-0005-2133</t>
  </si>
  <si>
    <t>YENNIFER ALEXANDRA ESPINOZA BOLIVAR</t>
  </si>
  <si>
    <t>PROMOTOR DE VENTA</t>
  </si>
  <si>
    <t>0102-0741-0700-0028-4017</t>
  </si>
  <si>
    <t>CAJERO (A)</t>
  </si>
  <si>
    <t>AUX. DE ALMACEN</t>
  </si>
  <si>
    <t xml:space="preserve">SUPERVISOR DE ALMACEN </t>
  </si>
  <si>
    <t xml:space="preserve"> FARMACIA SANTA CRUZ DE OSPINO C.A</t>
  </si>
  <si>
    <t>COORD. ADMINISTRATIVO</t>
  </si>
  <si>
    <t>GERENTE</t>
  </si>
  <si>
    <t>TOTAL BS.</t>
  </si>
  <si>
    <t>TOTAL $</t>
  </si>
  <si>
    <t>RECIBOS DE PAGO (BONO DE CUMPLIMIENTO DEL BENEFICIO DE ALIMENTACION PARA LOS TRABAJADORES Y LAS TRABAJADORAS ARTICULO 105. LITERAL N°2 DE LA LEY ORGANIGA DEL TRABAJO LOS TRABAJADORES Y LAS TRABAJADORAS LOTT)</t>
  </si>
  <si>
    <t>FARMACIA:</t>
  </si>
  <si>
    <t>RIF:</t>
  </si>
  <si>
    <t>DIRECCION:</t>
  </si>
  <si>
    <t>PERIODO:</t>
  </si>
  <si>
    <t>NOMBRE Y APELLIDOS</t>
  </si>
  <si>
    <t>C.I</t>
  </si>
  <si>
    <t>FECHA DE INGRESO</t>
  </si>
  <si>
    <t>EMPRESA</t>
  </si>
  <si>
    <t>BONO ASIGNADO</t>
  </si>
  <si>
    <t>PAGO EXTRA</t>
  </si>
  <si>
    <t>BONIFICACION</t>
  </si>
  <si>
    <t>DEDUCIONES</t>
  </si>
  <si>
    <t>MONTO NETO A PAGAR Bs.</t>
  </si>
  <si>
    <t xml:space="preserve">FIRMA </t>
  </si>
  <si>
    <t>HUELLAS</t>
  </si>
  <si>
    <t>MONTO $</t>
  </si>
  <si>
    <t>RECIBO DE PAGO NOMINA</t>
  </si>
  <si>
    <t>NOMBRE DEL TRABAJADOR:</t>
  </si>
  <si>
    <t>CEDULA:</t>
  </si>
  <si>
    <t>CARGO:</t>
  </si>
  <si>
    <t>CONCEPTO</t>
  </si>
  <si>
    <t>ASIGNACION</t>
  </si>
  <si>
    <t>DEDUCCION</t>
  </si>
  <si>
    <t>Dias laborados</t>
  </si>
  <si>
    <t>Dias de descanso</t>
  </si>
  <si>
    <t>Dias de descanso / feriado laborado</t>
  </si>
  <si>
    <t>Reposo</t>
  </si>
  <si>
    <t>Transporte</t>
  </si>
  <si>
    <t>Horas extras Diurnas</t>
  </si>
  <si>
    <t>Horas extras nocturno</t>
  </si>
  <si>
    <t>Deduccion IVSS</t>
  </si>
  <si>
    <t>Deduccion RPE</t>
  </si>
  <si>
    <t>Deduccion FAOV</t>
  </si>
  <si>
    <t>Permiso no remunerado</t>
  </si>
  <si>
    <t>Falta Injustificada</t>
  </si>
  <si>
    <t>Prestamo Empleados</t>
  </si>
  <si>
    <t xml:space="preserve">NETO A PAGAR ==&gt; </t>
  </si>
  <si>
    <t>Firma del Trabajador</t>
  </si>
  <si>
    <t>Horas extras noturno</t>
  </si>
  <si>
    <t>POSEE CUENTA PROVINCIAL</t>
  </si>
  <si>
    <t>NOMINA FISCAL BS</t>
  </si>
  <si>
    <t>CUMPLIMIENTO DEL BENEFICIO DE ALIMENTACION DE LOS TRABAJADORES. ART 105</t>
  </si>
  <si>
    <t>SUMA</t>
  </si>
  <si>
    <t>PAGO $</t>
  </si>
  <si>
    <t>SEMANAL$</t>
  </si>
  <si>
    <t>SI</t>
  </si>
  <si>
    <t>0108-0542-28-0100124898</t>
  </si>
  <si>
    <t>0108-0201-65-0100281905</t>
  </si>
  <si>
    <t>0108-0201-65-0100278289</t>
  </si>
  <si>
    <t>SUPERVISOR DE VENTAS</t>
  </si>
  <si>
    <t xml:space="preserve"> 0108-2422-26-0100104904 </t>
  </si>
  <si>
    <t>0108-2422-27-0100074746</t>
  </si>
  <si>
    <t xml:space="preserve"> 0108-0064-1401-0032-9645 </t>
  </si>
  <si>
    <t xml:space="preserve"> 0108-0111-7001-0005-2133 </t>
  </si>
  <si>
    <t>NO</t>
  </si>
  <si>
    <t>Reposo 100%</t>
  </si>
  <si>
    <t>GRUPO FARMACIAS GFO OSPINO</t>
  </si>
  <si>
    <t>SEMANA DEL 08/12/2025 AL 14/12/2025</t>
  </si>
  <si>
    <t>RESUMEN SEMANAL</t>
  </si>
  <si>
    <t>TASA $</t>
  </si>
  <si>
    <t>CARGOS</t>
  </si>
  <si>
    <t xml:space="preserve">N° DE CUENTA </t>
  </si>
  <si>
    <t xml:space="preserve">TIPO DE CUENTA </t>
  </si>
  <si>
    <t>INGRESO SEMANAL BS</t>
  </si>
  <si>
    <t>CALCULO PARA BONIFICACION</t>
  </si>
  <si>
    <t>Bonos nocturnos</t>
  </si>
  <si>
    <t>RAZON SOCIAL</t>
  </si>
  <si>
    <t>SUELDO  $</t>
  </si>
  <si>
    <t>SUELDO QCNAL</t>
  </si>
  <si>
    <t>SALARIO MENSUAL:</t>
  </si>
  <si>
    <t>SUELDO MENSUAL</t>
  </si>
  <si>
    <t>Bono nocturno</t>
  </si>
  <si>
    <t>SALARIO MENSUAL 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</si>
</sst>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 &quot;Bs.S&quot;* #,##0.00_ ;_ &quot;Bs.S&quot;* \-#,##0.00_ ;_ &quot;Bs.S&quot;* &quot;-&quot;??_ ;_ @_ "/>
    <numFmt numFmtId="43" formatCode="_ * #,##0.00_ ;_ * \-#,##0.00_ ;_ * &quot;-&quot;??_ ;_ @_ "/>
    <numFmt numFmtId="164" formatCode="0.000"/>
    <numFmt numFmtId="165" formatCode="&quot;Bs.&quot;\ #,##0.00"/>
    <numFmt numFmtId="166" formatCode="_ * #,##0_ ;_ * \-#,##0_ ;_ * &quot;-&quot;??_ ;_ @_ "/>
    <numFmt numFmtId="167" formatCode="&quot;Bs.&quot;\ #,##0.000"/>
    <numFmt numFmtId="168" formatCode="&quot;$&quot;\ #,##0.00"/>
    <numFmt numFmtId="169" formatCode="dd/mm/yyyy;@"/>
    <numFmt numFmtId="170" formatCode="0.0"/>
    <numFmt numFmtId="171" formatCode="[$Bs.S-200A]#,##0.00"/>
  </numFmts>
  <fonts count="6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rgb="FFFF3300"/>
      <name val="Algerian"/>
      <family val="5"/>
    </font>
    <font>
      <b/>
      <sz val="8"/>
      <color rgb="FF333333"/>
      <name val="Verdana"/>
      <family val="2"/>
    </font>
    <font>
      <b/>
      <sz val="15"/>
      <color rgb="FFFF3300"/>
      <name val="Algerian"/>
      <family val="5"/>
    </font>
    <font>
      <b/>
      <sz val="12"/>
      <color rgb="FFFF3300"/>
      <name val="Algerian"/>
      <family val="5"/>
    </font>
    <font>
      <b/>
      <sz val="10"/>
      <color rgb="FFFF3300"/>
      <name val="Algerian"/>
      <family val="5"/>
    </font>
    <font>
      <b/>
      <sz val="18"/>
      <color rgb="FFFF3300"/>
      <name val="Algerian"/>
      <family val="5"/>
    </font>
    <font>
      <b/>
      <sz val="14"/>
      <color rgb="FFFF3300"/>
      <name val="Algerian"/>
      <family val="5"/>
    </font>
    <font>
      <b/>
      <sz val="10"/>
      <color rgb="FFFF33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0"/>
      <name val="Times New Roman"/>
      <family val="1"/>
    </font>
    <font>
      <b/>
      <sz val="8"/>
      <color theme="0"/>
      <name val="Calibri"/>
      <family val="2"/>
      <scheme val="minor"/>
    </font>
    <font>
      <b/>
      <sz val="8"/>
      <color theme="0"/>
      <name val="Times New Roman"/>
      <family val="1"/>
    </font>
    <font>
      <b/>
      <i/>
      <sz val="8"/>
      <color theme="0"/>
      <name val="Times New Roman"/>
      <family val="1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33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8"/>
      <color theme="1"/>
      <name val="Arial"/>
      <family val="2"/>
    </font>
    <font>
      <sz val="6"/>
      <color theme="1"/>
      <name val="Arial"/>
      <family val="2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color rgb="FFFF3300"/>
      <name val="Times New Roman"/>
      <family val="1"/>
    </font>
    <font>
      <sz val="7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20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20"/>
      <color theme="0"/>
      <name val="Arial"/>
      <family val="2"/>
    </font>
    <font>
      <sz val="24"/>
      <color theme="1"/>
      <name val="Calibri"/>
      <family val="2"/>
      <scheme val="minor"/>
    </font>
    <font>
      <sz val="24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24"/>
      <color theme="0"/>
      <name val="Arial"/>
      <family val="2"/>
    </font>
    <font>
      <b/>
      <sz val="12"/>
      <color theme="0"/>
      <name val="Arial"/>
      <family val="2"/>
    </font>
    <font>
      <sz val="12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b/>
      <i/>
      <sz val="12"/>
      <color theme="0"/>
      <name val="Times New Roman"/>
      <family val="1"/>
    </font>
    <font>
      <b/>
      <i/>
      <sz val="16"/>
      <color theme="0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sz val="18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9"/>
      <name val="Arial"/>
      <family val="2"/>
    </font>
    <font>
      <b/>
      <sz val="8"/>
      <color theme="1"/>
      <name val="Arial"/>
      <family val="2"/>
    </font>
    <font>
      <b/>
      <sz val="8"/>
      <color theme="0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i/>
      <sz val="8"/>
      <color theme="1"/>
      <name val="Arial"/>
      <family val="2"/>
    </font>
    <font>
      <b/>
      <sz val="9"/>
      <color theme="1"/>
      <name val="Arial"/>
      <family val="2"/>
    </font>
    <font>
      <sz val="16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0"/>
      <color rgb="FFFF3300"/>
      <name val="Algerian"/>
      <family val="5"/>
    </font>
    <font>
      <b/>
      <sz val="18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i/>
      <sz val="9"/>
      <color theme="0"/>
      <name val="Times New Roman"/>
      <family val="1"/>
    </font>
    <font>
      <sz val="8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3300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206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</cellStyleXfs>
  <cellXfs count="284">
    <xf numFmtId="0" fontId="0" fillId="0" borderId="0" xfId="0"/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2" fontId="5" fillId="0" borderId="0" xfId="0" applyNumberFormat="1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4" fontId="8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64" fontId="10" fillId="0" borderId="0" xfId="0" applyNumberFormat="1" applyFont="1" applyAlignment="1">
      <alignment vertical="center"/>
    </xf>
    <xf numFmtId="165" fontId="4" fillId="0" borderId="0" xfId="0" applyNumberFormat="1" applyFont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0" xfId="0" applyFont="1" applyAlignment="1">
      <alignment vertical="center"/>
    </xf>
    <xf numFmtId="14" fontId="11" fillId="0" borderId="0" xfId="0" applyNumberFormat="1" applyFont="1" applyAlignment="1">
      <alignment vertical="center"/>
    </xf>
    <xf numFmtId="0" fontId="11" fillId="0" borderId="0" xfId="0" applyFont="1" applyAlignment="1">
      <alignment horizontal="center" vertical="center"/>
    </xf>
    <xf numFmtId="4" fontId="11" fillId="0" borderId="0" xfId="0" applyNumberFormat="1" applyFont="1" applyAlignment="1">
      <alignment vertical="center"/>
    </xf>
    <xf numFmtId="0" fontId="12" fillId="0" borderId="0" xfId="0" applyFont="1"/>
    <xf numFmtId="0" fontId="0" fillId="0" borderId="0" xfId="0" applyAlignment="1">
      <alignment horizontal="center"/>
    </xf>
    <xf numFmtId="0" fontId="13" fillId="2" borderId="2" xfId="0" applyFont="1" applyFill="1" applyBorder="1" applyAlignment="1">
      <alignment vertical="center" wrapText="1"/>
    </xf>
    <xf numFmtId="0" fontId="13" fillId="2" borderId="3" xfId="0" applyFont="1" applyFill="1" applyBorder="1" applyAlignment="1">
      <alignment vertical="center" wrapText="1"/>
    </xf>
    <xf numFmtId="0" fontId="13" fillId="2" borderId="4" xfId="0" applyFont="1" applyFill="1" applyBorder="1" applyAlignment="1">
      <alignment vertical="center" wrapText="1"/>
    </xf>
    <xf numFmtId="0" fontId="13" fillId="3" borderId="5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4" fillId="3" borderId="7" xfId="0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14" fontId="14" fillId="3" borderId="8" xfId="0" applyNumberFormat="1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 wrapText="1"/>
    </xf>
    <xf numFmtId="0" fontId="16" fillId="4" borderId="8" xfId="0" applyFont="1" applyFill="1" applyBorder="1" applyAlignment="1">
      <alignment horizontal="center" vertical="center" wrapText="1"/>
    </xf>
    <xf numFmtId="0" fontId="15" fillId="3" borderId="9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5" fillId="3" borderId="10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0" fontId="15" fillId="3" borderId="11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center" wrapText="1"/>
    </xf>
    <xf numFmtId="0" fontId="15" fillId="3" borderId="5" xfId="0" applyFont="1" applyFill="1" applyBorder="1" applyAlignment="1">
      <alignment vertical="center" wrapText="1"/>
    </xf>
    <xf numFmtId="0" fontId="14" fillId="3" borderId="6" xfId="0" applyFont="1" applyFill="1" applyBorder="1" applyAlignment="1">
      <alignment horizontal="center" vertical="center"/>
    </xf>
    <xf numFmtId="1" fontId="17" fillId="0" borderId="0" xfId="0" applyNumberFormat="1" applyFont="1" applyAlignment="1">
      <alignment horizontal="center" wrapText="1"/>
    </xf>
    <xf numFmtId="0" fontId="17" fillId="0" borderId="0" xfId="0" applyFont="1" applyAlignment="1">
      <alignment horizontal="center"/>
    </xf>
    <xf numFmtId="0" fontId="18" fillId="0" borderId="12" xfId="0" applyFont="1" applyBorder="1" applyAlignment="1">
      <alignment horizontal="left"/>
    </xf>
    <xf numFmtId="166" fontId="18" fillId="0" borderId="12" xfId="1" applyNumberFormat="1" applyFont="1" applyFill="1" applyBorder="1" applyAlignment="1">
      <alignment vertical="center"/>
    </xf>
    <xf numFmtId="166" fontId="18" fillId="5" borderId="12" xfId="1" applyNumberFormat="1" applyFont="1" applyFill="1" applyBorder="1" applyAlignment="1">
      <alignment horizontal="left" vertical="center" wrapText="1"/>
    </xf>
    <xf numFmtId="14" fontId="18" fillId="0" borderId="12" xfId="0" applyNumberFormat="1" applyFont="1" applyBorder="1" applyAlignment="1">
      <alignment horizontal="left" vertical="center"/>
    </xf>
    <xf numFmtId="166" fontId="18" fillId="5" borderId="12" xfId="1" applyNumberFormat="1" applyFont="1" applyFill="1" applyBorder="1" applyAlignment="1">
      <alignment horizontal="center" vertical="center"/>
    </xf>
    <xf numFmtId="166" fontId="19" fillId="5" borderId="12" xfId="1" applyNumberFormat="1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49" fontId="18" fillId="0" borderId="13" xfId="0" applyNumberFormat="1" applyFont="1" applyBorder="1" applyAlignment="1">
      <alignment horizontal="left" vertical="center"/>
    </xf>
    <xf numFmtId="165" fontId="18" fillId="0" borderId="13" xfId="0" applyNumberFormat="1" applyFont="1" applyBorder="1" applyAlignment="1">
      <alignment horizontal="center" vertical="center"/>
    </xf>
    <xf numFmtId="43" fontId="18" fillId="0" borderId="12" xfId="1" applyFont="1" applyBorder="1" applyAlignment="1">
      <alignment horizontal="center"/>
    </xf>
    <xf numFmtId="167" fontId="18" fillId="0" borderId="13" xfId="0" applyNumberFormat="1" applyFont="1" applyBorder="1" applyAlignment="1">
      <alignment horizontal="center" vertical="center"/>
    </xf>
    <xf numFmtId="0" fontId="18" fillId="6" borderId="13" xfId="0" applyFont="1" applyFill="1" applyBorder="1" applyAlignment="1">
      <alignment horizontal="left"/>
    </xf>
    <xf numFmtId="165" fontId="18" fillId="6" borderId="13" xfId="0" applyNumberFormat="1" applyFont="1" applyFill="1" applyBorder="1" applyAlignment="1">
      <alignment horizontal="center" vertical="center"/>
    </xf>
    <xf numFmtId="165" fontId="20" fillId="0" borderId="12" xfId="0" applyNumberFormat="1" applyFont="1" applyBorder="1" applyAlignment="1">
      <alignment horizontal="center" vertical="center"/>
    </xf>
    <xf numFmtId="0" fontId="18" fillId="6" borderId="13" xfId="0" applyFont="1" applyFill="1" applyBorder="1" applyAlignment="1">
      <alignment horizontal="center"/>
    </xf>
    <xf numFmtId="165" fontId="21" fillId="0" borderId="13" xfId="0" applyNumberFormat="1" applyFont="1" applyBorder="1" applyAlignment="1">
      <alignment horizontal="center" vertical="center"/>
    </xf>
    <xf numFmtId="165" fontId="22" fillId="3" borderId="13" xfId="0" applyNumberFormat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/>
    </xf>
    <xf numFmtId="0" fontId="18" fillId="0" borderId="0" xfId="0" applyFont="1" applyAlignment="1">
      <alignment horizontal="left"/>
    </xf>
    <xf numFmtId="166" fontId="18" fillId="5" borderId="12" xfId="1" applyNumberFormat="1" applyFont="1" applyFill="1" applyBorder="1" applyAlignment="1">
      <alignment horizontal="center" vertical="center" wrapText="1"/>
    </xf>
    <xf numFmtId="166" fontId="18" fillId="5" borderId="12" xfId="1" applyNumberFormat="1" applyFont="1" applyFill="1" applyBorder="1" applyAlignment="1">
      <alignment vertical="center"/>
    </xf>
    <xf numFmtId="0" fontId="18" fillId="0" borderId="12" xfId="0" applyFont="1" applyBorder="1" applyAlignment="1">
      <alignment horizontal="left" vertical="center" wrapText="1"/>
    </xf>
    <xf numFmtId="0" fontId="18" fillId="0" borderId="12" xfId="0" applyFont="1" applyBorder="1" applyAlignment="1">
      <alignment horizontal="left" vertical="center"/>
    </xf>
    <xf numFmtId="165" fontId="18" fillId="0" borderId="12" xfId="0" applyNumberFormat="1" applyFont="1" applyBorder="1" applyAlignment="1">
      <alignment horizontal="center" vertical="center"/>
    </xf>
    <xf numFmtId="0" fontId="18" fillId="0" borderId="12" xfId="0" applyFont="1" applyBorder="1" applyAlignment="1">
      <alignment horizontal="center"/>
    </xf>
    <xf numFmtId="14" fontId="18" fillId="4" borderId="12" xfId="0" applyNumberFormat="1" applyFont="1" applyFill="1" applyBorder="1" applyAlignment="1">
      <alignment horizontal="left" vertical="center"/>
    </xf>
    <xf numFmtId="0" fontId="18" fillId="0" borderId="12" xfId="0" applyFont="1" applyBorder="1" applyAlignment="1">
      <alignment horizontal="center" wrapText="1"/>
    </xf>
    <xf numFmtId="0" fontId="18" fillId="0" borderId="12" xfId="0" applyFont="1" applyBorder="1" applyAlignment="1">
      <alignment horizontal="left" wrapText="1"/>
    </xf>
    <xf numFmtId="166" fontId="24" fillId="5" borderId="12" xfId="1" applyNumberFormat="1" applyFont="1" applyFill="1" applyBorder="1" applyAlignment="1">
      <alignment vertical="center" wrapText="1"/>
    </xf>
    <xf numFmtId="166" fontId="24" fillId="5" borderId="12" xfId="1" applyNumberFormat="1" applyFont="1" applyFill="1" applyBorder="1" applyAlignment="1">
      <alignment horizontal="left" vertical="center" wrapText="1"/>
    </xf>
    <xf numFmtId="14" fontId="24" fillId="0" borderId="12" xfId="0" applyNumberFormat="1" applyFont="1" applyBorder="1" applyAlignment="1">
      <alignment horizontal="left" vertical="center"/>
    </xf>
    <xf numFmtId="165" fontId="26" fillId="0" borderId="12" xfId="0" applyNumberFormat="1" applyFont="1" applyBorder="1" applyAlignment="1">
      <alignment horizontal="center" vertical="center"/>
    </xf>
    <xf numFmtId="166" fontId="24" fillId="0" borderId="0" xfId="1" applyNumberFormat="1" applyFont="1" applyFill="1" applyBorder="1" applyAlignment="1">
      <alignment vertical="center" wrapText="1"/>
    </xf>
    <xf numFmtId="166" fontId="24" fillId="0" borderId="0" xfId="1" applyNumberFormat="1" applyFont="1" applyFill="1" applyBorder="1" applyAlignment="1">
      <alignment horizontal="left" vertical="center" wrapText="1"/>
    </xf>
    <xf numFmtId="14" fontId="24" fillId="0" borderId="0" xfId="0" applyNumberFormat="1" applyFont="1" applyAlignment="1">
      <alignment horizontal="left" vertical="center"/>
    </xf>
    <xf numFmtId="166" fontId="24" fillId="0" borderId="0" xfId="1" applyNumberFormat="1" applyFont="1" applyFill="1" applyBorder="1" applyAlignment="1">
      <alignment horizontal="center" vertical="center" wrapText="1"/>
    </xf>
    <xf numFmtId="166" fontId="25" fillId="0" borderId="0" xfId="1" applyNumberFormat="1" applyFont="1" applyFill="1" applyBorder="1" applyAlignment="1">
      <alignment horizontal="left" vertical="center" wrapText="1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left" vertical="center" wrapText="1"/>
    </xf>
    <xf numFmtId="0" fontId="24" fillId="0" borderId="0" xfId="0" applyFont="1" applyAlignment="1">
      <alignment horizontal="left" vertical="center"/>
    </xf>
    <xf numFmtId="165" fontId="26" fillId="0" borderId="0" xfId="0" applyNumberFormat="1" applyFont="1" applyAlignment="1">
      <alignment horizontal="center" vertical="center"/>
    </xf>
    <xf numFmtId="167" fontId="26" fillId="0" borderId="0" xfId="0" applyNumberFormat="1" applyFont="1" applyAlignment="1">
      <alignment horizontal="center" vertical="center"/>
    </xf>
    <xf numFmtId="165" fontId="27" fillId="0" borderId="0" xfId="0" applyNumberFormat="1" applyFont="1" applyAlignment="1">
      <alignment horizontal="center" vertical="center"/>
    </xf>
    <xf numFmtId="165" fontId="28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left"/>
    </xf>
    <xf numFmtId="0" fontId="12" fillId="0" borderId="0" xfId="0" applyFont="1" applyAlignment="1">
      <alignment horizontal="left" vertical="center" wrapText="1"/>
    </xf>
    <xf numFmtId="14" fontId="0" fillId="0" borderId="0" xfId="0" applyNumberFormat="1"/>
    <xf numFmtId="4" fontId="0" fillId="0" borderId="0" xfId="0" applyNumberFormat="1" applyAlignment="1">
      <alignment horizontal="center"/>
    </xf>
    <xf numFmtId="165" fontId="3" fillId="5" borderId="0" xfId="0" applyNumberFormat="1" applyFont="1" applyFill="1" applyAlignment="1">
      <alignment horizontal="center" vertical="center"/>
    </xf>
    <xf numFmtId="165" fontId="3" fillId="7" borderId="0" xfId="0" applyNumberFormat="1" applyFont="1" applyFill="1" applyAlignment="1">
      <alignment horizontal="center" vertical="center"/>
    </xf>
    <xf numFmtId="0" fontId="0" fillId="7" borderId="0" xfId="0" applyFill="1"/>
    <xf numFmtId="0" fontId="3" fillId="7" borderId="0" xfId="0" applyFont="1" applyFill="1" applyAlignment="1">
      <alignment horizontal="center" vertical="center"/>
    </xf>
    <xf numFmtId="165" fontId="30" fillId="7" borderId="0" xfId="0" applyNumberFormat="1" applyFont="1" applyFill="1" applyAlignment="1">
      <alignment horizontal="center" vertical="center"/>
    </xf>
    <xf numFmtId="4" fontId="0" fillId="0" borderId="0" xfId="0" applyNumberFormat="1"/>
    <xf numFmtId="1" fontId="0" fillId="0" borderId="0" xfId="0" applyNumberFormat="1" applyAlignment="1">
      <alignment horizontal="center" vertical="center"/>
    </xf>
    <xf numFmtId="2" fontId="0" fillId="0" borderId="0" xfId="0" applyNumberFormat="1"/>
    <xf numFmtId="0" fontId="3" fillId="0" borderId="0" xfId="0" applyFont="1"/>
    <xf numFmtId="4" fontId="3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8" fontId="31" fillId="3" borderId="13" xfId="0" applyNumberFormat="1" applyFont="1" applyFill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35" fillId="0" borderId="0" xfId="2" applyFont="1" applyAlignment="1">
      <alignment vertical="center"/>
    </xf>
    <xf numFmtId="0" fontId="36" fillId="0" borderId="0" xfId="2" applyFont="1" applyAlignment="1">
      <alignment vertical="center"/>
    </xf>
    <xf numFmtId="0" fontId="34" fillId="8" borderId="0" xfId="3" applyFont="1" applyFill="1" applyAlignment="1">
      <alignment horizontal="center" vertical="center"/>
    </xf>
    <xf numFmtId="0" fontId="37" fillId="8" borderId="0" xfId="0" applyFont="1" applyFill="1" applyAlignment="1">
      <alignment horizontal="left" vertical="center"/>
    </xf>
    <xf numFmtId="0" fontId="38" fillId="0" borderId="0" xfId="2" applyFont="1" applyAlignment="1">
      <alignment vertical="center"/>
    </xf>
    <xf numFmtId="0" fontId="39" fillId="0" borderId="0" xfId="2" applyFont="1" applyAlignment="1">
      <alignment vertical="center"/>
    </xf>
    <xf numFmtId="0" fontId="40" fillId="8" borderId="0" xfId="3" applyFont="1" applyFill="1" applyAlignment="1">
      <alignment horizontal="center" vertical="center"/>
    </xf>
    <xf numFmtId="0" fontId="41" fillId="8" borderId="0" xfId="0" applyFont="1" applyFill="1" applyAlignment="1">
      <alignment vertical="center"/>
    </xf>
    <xf numFmtId="0" fontId="41" fillId="8" borderId="0" xfId="0" applyFont="1" applyFill="1"/>
    <xf numFmtId="0" fontId="43" fillId="8" borderId="0" xfId="2" applyFont="1" applyFill="1" applyAlignment="1">
      <alignment horizontal="left"/>
    </xf>
    <xf numFmtId="0" fontId="43" fillId="8" borderId="0" xfId="2" applyFont="1" applyFill="1"/>
    <xf numFmtId="0" fontId="43" fillId="8" borderId="0" xfId="2" applyFont="1" applyFill="1" applyAlignment="1">
      <alignment horizontal="center"/>
    </xf>
    <xf numFmtId="4" fontId="43" fillId="8" borderId="0" xfId="2" applyNumberFormat="1" applyFont="1" applyFill="1" applyAlignment="1">
      <alignment horizontal="center"/>
    </xf>
    <xf numFmtId="0" fontId="35" fillId="0" borderId="0" xfId="2" applyFont="1"/>
    <xf numFmtId="0" fontId="36" fillId="0" borderId="0" xfId="2" applyFont="1"/>
    <xf numFmtId="0" fontId="44" fillId="9" borderId="9" xfId="3" applyFont="1" applyFill="1" applyBorder="1" applyAlignment="1">
      <alignment horizontal="left" vertical="center" wrapText="1"/>
    </xf>
    <xf numFmtId="0" fontId="44" fillId="9" borderId="9" xfId="3" applyFont="1" applyFill="1" applyBorder="1" applyAlignment="1">
      <alignment horizontal="center" vertical="center" wrapText="1"/>
    </xf>
    <xf numFmtId="0" fontId="45" fillId="9" borderId="15" xfId="0" applyFont="1" applyFill="1" applyBorder="1" applyAlignment="1">
      <alignment horizontal="center" vertical="center" wrapText="1"/>
    </xf>
    <xf numFmtId="4" fontId="44" fillId="9" borderId="9" xfId="3" applyNumberFormat="1" applyFont="1" applyFill="1" applyBorder="1" applyAlignment="1">
      <alignment horizontal="center" vertical="center" wrapText="1"/>
    </xf>
    <xf numFmtId="4" fontId="44" fillId="9" borderId="16" xfId="3" applyNumberFormat="1" applyFont="1" applyFill="1" applyBorder="1" applyAlignment="1">
      <alignment horizontal="center" vertical="center" wrapText="1"/>
    </xf>
    <xf numFmtId="0" fontId="46" fillId="9" borderId="16" xfId="3" applyFont="1" applyFill="1" applyBorder="1" applyAlignment="1">
      <alignment horizontal="center" vertical="center" wrapText="1"/>
    </xf>
    <xf numFmtId="0" fontId="46" fillId="8" borderId="17" xfId="3" applyFont="1" applyFill="1" applyBorder="1" applyAlignment="1">
      <alignment horizontal="center" vertical="center" wrapText="1"/>
    </xf>
    <xf numFmtId="2" fontId="36" fillId="0" borderId="0" xfId="2" applyNumberFormat="1" applyFont="1"/>
    <xf numFmtId="2" fontId="47" fillId="0" borderId="18" xfId="0" applyNumberFormat="1" applyFont="1" applyBorder="1" applyAlignment="1">
      <alignment vertical="center" wrapText="1"/>
    </xf>
    <xf numFmtId="166" fontId="47" fillId="0" borderId="18" xfId="1" applyNumberFormat="1" applyFont="1" applyBorder="1" applyAlignment="1">
      <alignment vertical="center" wrapText="1"/>
    </xf>
    <xf numFmtId="169" fontId="47" fillId="0" borderId="18" xfId="0" applyNumberFormat="1" applyFont="1" applyBorder="1" applyAlignment="1">
      <alignment horizontal="center" vertical="center" wrapText="1"/>
    </xf>
    <xf numFmtId="3" fontId="47" fillId="0" borderId="18" xfId="0" applyNumberFormat="1" applyFont="1" applyBorder="1" applyAlignment="1">
      <alignment vertical="center" wrapText="1"/>
    </xf>
    <xf numFmtId="3" fontId="47" fillId="0" borderId="15" xfId="0" applyNumberFormat="1" applyFont="1" applyBorder="1" applyAlignment="1">
      <alignment vertical="center" wrapText="1"/>
    </xf>
    <xf numFmtId="3" fontId="47" fillId="10" borderId="18" xfId="0" applyNumberFormat="1" applyFont="1" applyFill="1" applyBorder="1" applyAlignment="1">
      <alignment vertical="center" wrapText="1"/>
    </xf>
    <xf numFmtId="4" fontId="48" fillId="0" borderId="19" xfId="0" applyNumberFormat="1" applyFont="1" applyBorder="1" applyAlignment="1">
      <alignment horizontal="center" vertical="center" wrapText="1"/>
    </xf>
    <xf numFmtId="2" fontId="47" fillId="0" borderId="18" xfId="0" applyNumberFormat="1" applyFont="1" applyBorder="1" applyAlignment="1">
      <alignment horizontal="center" vertical="center" wrapText="1"/>
    </xf>
    <xf numFmtId="43" fontId="49" fillId="0" borderId="18" xfId="1" applyFont="1" applyFill="1" applyBorder="1" applyAlignment="1">
      <alignment horizontal="center" vertical="center" wrapText="1"/>
    </xf>
    <xf numFmtId="4" fontId="42" fillId="3" borderId="20" xfId="0" applyNumberFormat="1" applyFont="1" applyFill="1" applyBorder="1" applyAlignment="1">
      <alignment horizontal="center" vertical="center" wrapText="1"/>
    </xf>
    <xf numFmtId="2" fontId="50" fillId="0" borderId="12" xfId="2" applyNumberFormat="1" applyFont="1" applyBorder="1" applyAlignment="1">
      <alignment wrapText="1"/>
    </xf>
    <xf numFmtId="168" fontId="51" fillId="0" borderId="13" xfId="0" applyNumberFormat="1" applyFont="1" applyBorder="1" applyAlignment="1">
      <alignment horizontal="center" vertical="center" wrapText="1"/>
    </xf>
    <xf numFmtId="2" fontId="35" fillId="0" borderId="0" xfId="2" applyNumberFormat="1" applyFont="1"/>
    <xf numFmtId="0" fontId="50" fillId="0" borderId="12" xfId="2" applyFont="1" applyBorder="1" applyAlignment="1">
      <alignment wrapText="1"/>
    </xf>
    <xf numFmtId="166" fontId="49" fillId="0" borderId="18" xfId="1" applyNumberFormat="1" applyFont="1" applyFill="1" applyBorder="1" applyAlignment="1">
      <alignment horizontal="center" vertical="center" wrapText="1"/>
    </xf>
    <xf numFmtId="0" fontId="52" fillId="0" borderId="12" xfId="2" applyFont="1" applyBorder="1" applyAlignment="1">
      <alignment horizontal="center" vertical="center" wrapText="1"/>
    </xf>
    <xf numFmtId="0" fontId="53" fillId="0" borderId="12" xfId="2" applyFont="1" applyBorder="1" applyAlignment="1">
      <alignment horizontal="center" vertical="center" wrapText="1"/>
    </xf>
    <xf numFmtId="2" fontId="49" fillId="0" borderId="18" xfId="1" applyNumberFormat="1" applyFont="1" applyFill="1" applyBorder="1" applyAlignment="1">
      <alignment horizontal="right" vertical="center" wrapText="1"/>
    </xf>
    <xf numFmtId="169" fontId="47" fillId="4" borderId="18" xfId="0" applyNumberFormat="1" applyFont="1" applyFill="1" applyBorder="1" applyAlignment="1">
      <alignment horizontal="center" vertical="center" wrapText="1"/>
    </xf>
    <xf numFmtId="0" fontId="35" fillId="0" borderId="0" xfId="2" applyFont="1" applyAlignment="1">
      <alignment horizontal="left"/>
    </xf>
    <xf numFmtId="0" fontId="35" fillId="0" borderId="0" xfId="2" applyFont="1" applyAlignment="1">
      <alignment horizontal="center"/>
    </xf>
    <xf numFmtId="4" fontId="35" fillId="0" borderId="0" xfId="2" applyNumberFormat="1" applyFont="1"/>
    <xf numFmtId="0" fontId="54" fillId="0" borderId="0" xfId="0" applyFont="1" applyAlignment="1">
      <alignment horizontal="center" vertical="center"/>
    </xf>
    <xf numFmtId="0" fontId="17" fillId="0" borderId="0" xfId="0" applyFont="1"/>
    <xf numFmtId="0" fontId="56" fillId="0" borderId="0" xfId="0" applyFont="1" applyAlignment="1">
      <alignment horizontal="left" vertical="center"/>
    </xf>
    <xf numFmtId="44" fontId="56" fillId="0" borderId="0" xfId="0" applyNumberFormat="1" applyFont="1" applyAlignment="1">
      <alignment vertical="center"/>
    </xf>
    <xf numFmtId="0" fontId="57" fillId="3" borderId="23" xfId="0" applyFont="1" applyFill="1" applyBorder="1" applyAlignment="1">
      <alignment horizontal="center" vertical="center" wrapText="1"/>
    </xf>
    <xf numFmtId="3" fontId="56" fillId="0" borderId="27" xfId="0" applyNumberFormat="1" applyFont="1" applyBorder="1" applyAlignment="1">
      <alignment horizontal="center" vertical="center" wrapText="1"/>
    </xf>
    <xf numFmtId="14" fontId="58" fillId="0" borderId="0" xfId="0" applyNumberFormat="1" applyFont="1"/>
    <xf numFmtId="0" fontId="59" fillId="2" borderId="3" xfId="0" applyFont="1" applyFill="1" applyBorder="1" applyAlignment="1">
      <alignment vertical="center"/>
    </xf>
    <xf numFmtId="0" fontId="59" fillId="2" borderId="3" xfId="0" applyFont="1" applyFill="1" applyBorder="1" applyAlignment="1">
      <alignment horizontal="center" vertical="center"/>
    </xf>
    <xf numFmtId="0" fontId="59" fillId="2" borderId="4" xfId="0" applyFont="1" applyFill="1" applyBorder="1" applyAlignment="1">
      <alignment horizontal="center"/>
    </xf>
    <xf numFmtId="0" fontId="60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14" fontId="24" fillId="0" borderId="0" xfId="0" applyNumberFormat="1" applyFont="1"/>
    <xf numFmtId="0" fontId="24" fillId="0" borderId="0" xfId="0" applyFont="1" applyAlignment="1">
      <alignment horizontal="center"/>
    </xf>
    <xf numFmtId="2" fontId="24" fillId="0" borderId="0" xfId="0" applyNumberFormat="1" applyFont="1" applyAlignment="1">
      <alignment horizontal="center"/>
    </xf>
    <xf numFmtId="165" fontId="24" fillId="0" borderId="0" xfId="0" applyNumberFormat="1" applyFont="1" applyAlignment="1">
      <alignment horizontal="center"/>
    </xf>
    <xf numFmtId="0" fontId="60" fillId="0" borderId="0" xfId="0" quotePrefix="1" applyFont="1" applyAlignment="1">
      <alignment horizontal="left"/>
    </xf>
    <xf numFmtId="0" fontId="24" fillId="0" borderId="0" xfId="0" applyFont="1"/>
    <xf numFmtId="0" fontId="60" fillId="0" borderId="0" xfId="0" applyFont="1"/>
    <xf numFmtId="0" fontId="60" fillId="0" borderId="24" xfId="0" quotePrefix="1" applyFont="1" applyBorder="1" applyAlignment="1">
      <alignment horizontal="left"/>
    </xf>
    <xf numFmtId="0" fontId="24" fillId="0" borderId="24" xfId="0" applyFont="1" applyBorder="1" applyAlignment="1">
      <alignment horizontal="left"/>
    </xf>
    <xf numFmtId="0" fontId="24" fillId="0" borderId="24" xfId="0" applyFont="1" applyBorder="1" applyAlignment="1">
      <alignment horizontal="center"/>
    </xf>
    <xf numFmtId="2" fontId="24" fillId="0" borderId="24" xfId="0" applyNumberFormat="1" applyFont="1" applyBorder="1" applyAlignment="1">
      <alignment horizontal="center"/>
    </xf>
    <xf numFmtId="4" fontId="61" fillId="0" borderId="0" xfId="0" applyNumberFormat="1" applyFont="1" applyAlignment="1">
      <alignment horizontal="center"/>
    </xf>
    <xf numFmtId="0" fontId="61" fillId="0" borderId="0" xfId="0" applyFont="1"/>
    <xf numFmtId="165" fontId="59" fillId="3" borderId="29" xfId="0" applyNumberFormat="1" applyFont="1" applyFill="1" applyBorder="1" applyAlignment="1">
      <alignment horizontal="center"/>
    </xf>
    <xf numFmtId="0" fontId="58" fillId="0" borderId="30" xfId="0" applyFont="1" applyBorder="1"/>
    <xf numFmtId="0" fontId="0" fillId="0" borderId="31" xfId="0" applyBorder="1"/>
    <xf numFmtId="0" fontId="62" fillId="11" borderId="12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0" fontId="14" fillId="8" borderId="12" xfId="0" applyFont="1" applyFill="1" applyBorder="1" applyAlignment="1">
      <alignment horizontal="left" vertical="center" wrapText="1"/>
    </xf>
    <xf numFmtId="0" fontId="14" fillId="11" borderId="12" xfId="0" applyFont="1" applyFill="1" applyBorder="1" applyAlignment="1">
      <alignment horizontal="left" vertical="center" wrapText="1"/>
    </xf>
    <xf numFmtId="0" fontId="15" fillId="11" borderId="12" xfId="0" applyFont="1" applyFill="1" applyBorder="1" applyAlignment="1">
      <alignment horizontal="left" vertical="center" wrapText="1"/>
    </xf>
    <xf numFmtId="0" fontId="16" fillId="11" borderId="12" xfId="0" applyFont="1" applyFill="1" applyBorder="1" applyAlignment="1">
      <alignment horizontal="left" vertical="center" wrapText="1"/>
    </xf>
    <xf numFmtId="0" fontId="23" fillId="11" borderId="12" xfId="0" applyFont="1" applyFill="1" applyBorder="1" applyAlignment="1">
      <alignment horizontal="left" vertical="center" wrapText="1"/>
    </xf>
    <xf numFmtId="166" fontId="58" fillId="0" borderId="12" xfId="1" applyNumberFormat="1" applyFont="1" applyFill="1" applyBorder="1" applyAlignment="1">
      <alignment horizontal="left" vertical="center" wrapText="1"/>
    </xf>
    <xf numFmtId="3" fontId="18" fillId="0" borderId="12" xfId="0" applyNumberFormat="1" applyFont="1" applyBorder="1" applyAlignment="1">
      <alignment horizontal="left" vertical="center" wrapText="1"/>
    </xf>
    <xf numFmtId="14" fontId="18" fillId="0" borderId="12" xfId="0" applyNumberFormat="1" applyFont="1" applyBorder="1" applyAlignment="1">
      <alignment horizontal="left" vertical="center" wrapText="1"/>
    </xf>
    <xf numFmtId="0" fontId="18" fillId="0" borderId="12" xfId="0" applyFont="1" applyBorder="1" applyAlignment="1">
      <alignment wrapText="1"/>
    </xf>
    <xf numFmtId="14" fontId="29" fillId="0" borderId="12" xfId="0" applyNumberFormat="1" applyFont="1" applyBorder="1" applyAlignment="1">
      <alignment horizontal="left" vertical="center" wrapText="1"/>
    </xf>
    <xf numFmtId="0" fontId="58" fillId="0" borderId="12" xfId="0" applyFont="1" applyBorder="1" applyAlignment="1">
      <alignment horizontal="left" vertical="center" wrapText="1"/>
    </xf>
    <xf numFmtId="4" fontId="1" fillId="0" borderId="12" xfId="0" applyNumberFormat="1" applyFont="1" applyBorder="1" applyAlignment="1">
      <alignment horizontal="left" vertical="center" wrapText="1"/>
    </xf>
    <xf numFmtId="4" fontId="18" fillId="0" borderId="12" xfId="0" applyNumberFormat="1" applyFont="1" applyBorder="1" applyAlignment="1">
      <alignment horizontal="left" wrapText="1"/>
    </xf>
    <xf numFmtId="2" fontId="18" fillId="0" borderId="12" xfId="0" applyNumberFormat="1" applyFont="1" applyBorder="1" applyAlignment="1">
      <alignment wrapText="1"/>
    </xf>
    <xf numFmtId="170" fontId="18" fillId="0" borderId="12" xfId="0" applyNumberFormat="1" applyFont="1" applyBorder="1" applyAlignment="1">
      <alignment wrapText="1"/>
    </xf>
    <xf numFmtId="0" fontId="18" fillId="0" borderId="0" xfId="0" applyFont="1" applyAlignment="1">
      <alignment wrapText="1"/>
    </xf>
    <xf numFmtId="0" fontId="35" fillId="0" borderId="12" xfId="0" applyFont="1" applyBorder="1" applyAlignment="1">
      <alignment horizontal="left" vertical="center" wrapText="1"/>
    </xf>
    <xf numFmtId="14" fontId="18" fillId="4" borderId="12" xfId="0" applyNumberFormat="1" applyFont="1" applyFill="1" applyBorder="1" applyAlignment="1">
      <alignment horizontal="left" vertical="center" wrapText="1"/>
    </xf>
    <xf numFmtId="0" fontId="18" fillId="0" borderId="0" xfId="0" applyFont="1" applyAlignment="1">
      <alignment horizontal="left" wrapText="1"/>
    </xf>
    <xf numFmtId="0" fontId="22" fillId="11" borderId="0" xfId="0" applyFont="1" applyFill="1" applyAlignment="1">
      <alignment horizontal="left" vertical="center" wrapText="1"/>
    </xf>
    <xf numFmtId="4" fontId="63" fillId="0" borderId="13" xfId="0" applyNumberFormat="1" applyFont="1" applyBorder="1" applyAlignment="1">
      <alignment horizontal="center" vertical="center" wrapText="1"/>
    </xf>
    <xf numFmtId="0" fontId="23" fillId="0" borderId="0" xfId="0" applyFont="1" applyAlignment="1">
      <alignment horizontal="left" wrapText="1"/>
    </xf>
    <xf numFmtId="2" fontId="18" fillId="0" borderId="0" xfId="0" applyNumberFormat="1" applyFont="1" applyAlignment="1">
      <alignment horizontal="left" vertical="center" wrapText="1"/>
    </xf>
    <xf numFmtId="0" fontId="64" fillId="0" borderId="34" xfId="0" applyFont="1" applyBorder="1" applyAlignment="1">
      <alignment vertical="center"/>
    </xf>
    <xf numFmtId="0" fontId="64" fillId="0" borderId="18" xfId="0" applyFont="1" applyBorder="1" applyAlignment="1">
      <alignment vertical="center"/>
    </xf>
    <xf numFmtId="0" fontId="0" fillId="0" borderId="18" xfId="0" applyBorder="1"/>
    <xf numFmtId="0" fontId="0" fillId="0" borderId="35" xfId="0" applyBorder="1"/>
    <xf numFmtId="0" fontId="64" fillId="0" borderId="36" xfId="0" applyFont="1" applyBorder="1" applyAlignment="1">
      <alignment vertical="center"/>
    </xf>
    <xf numFmtId="0" fontId="64" fillId="0" borderId="31" xfId="0" applyFont="1" applyBorder="1" applyAlignment="1">
      <alignment vertical="center"/>
    </xf>
    <xf numFmtId="0" fontId="0" fillId="0" borderId="1" xfId="0" applyBorder="1" applyAlignment="1">
      <alignment horizontal="left"/>
    </xf>
    <xf numFmtId="0" fontId="0" fillId="0" borderId="28" xfId="0" applyBorder="1" applyAlignment="1">
      <alignment horizontal="left"/>
    </xf>
    <xf numFmtId="0" fontId="0" fillId="0" borderId="36" xfId="0" applyBorder="1" applyAlignment="1">
      <alignment horizontal="left"/>
    </xf>
    <xf numFmtId="0" fontId="0" fillId="0" borderId="14" xfId="0" applyBorder="1" applyAlignment="1">
      <alignment horizontal="left"/>
    </xf>
    <xf numFmtId="0" fontId="44" fillId="2" borderId="20" xfId="0" applyFont="1" applyFill="1" applyBorder="1" applyAlignment="1">
      <alignment horizontal="left" vertical="center"/>
    </xf>
    <xf numFmtId="2" fontId="44" fillId="2" borderId="20" xfId="0" applyNumberFormat="1" applyFont="1" applyFill="1" applyBorder="1" applyAlignment="1">
      <alignment horizontal="left" vertical="center"/>
    </xf>
    <xf numFmtId="0" fontId="2" fillId="3" borderId="12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 wrapText="1"/>
    </xf>
    <xf numFmtId="0" fontId="67" fillId="3" borderId="1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left" vertical="center" wrapText="1"/>
    </xf>
    <xf numFmtId="166" fontId="24" fillId="0" borderId="36" xfId="1" applyNumberFormat="1" applyFont="1" applyFill="1" applyBorder="1" applyAlignment="1">
      <alignment horizontal="left" vertical="center" wrapText="1"/>
    </xf>
    <xf numFmtId="166" fontId="24" fillId="0" borderId="12" xfId="1" applyNumberFormat="1" applyFont="1" applyFill="1" applyBorder="1" applyAlignment="1">
      <alignment horizontal="left" vertical="center"/>
    </xf>
    <xf numFmtId="166" fontId="24" fillId="0" borderId="12" xfId="1" applyNumberFormat="1" applyFont="1" applyFill="1" applyBorder="1" applyAlignment="1">
      <alignment horizontal="left" vertical="center" wrapText="1"/>
    </xf>
    <xf numFmtId="0" fontId="17" fillId="0" borderId="12" xfId="0" applyFont="1" applyBorder="1" applyAlignment="1">
      <alignment vertical="center"/>
    </xf>
    <xf numFmtId="14" fontId="17" fillId="0" borderId="12" xfId="0" applyNumberFormat="1" applyFont="1" applyBorder="1" applyAlignment="1">
      <alignment horizontal="left"/>
    </xf>
    <xf numFmtId="0" fontId="25" fillId="0" borderId="12" xfId="0" applyFont="1" applyBorder="1" applyAlignment="1">
      <alignment horizontal="left" vertical="center"/>
    </xf>
    <xf numFmtId="0" fontId="25" fillId="0" borderId="13" xfId="0" applyFont="1" applyBorder="1" applyAlignment="1">
      <alignment horizontal="left" vertical="center"/>
    </xf>
    <xf numFmtId="0" fontId="24" fillId="0" borderId="13" xfId="0" applyFont="1" applyBorder="1" applyAlignment="1">
      <alignment horizontal="left" vertical="center"/>
    </xf>
    <xf numFmtId="168" fontId="24" fillId="0" borderId="13" xfId="0" applyNumberFormat="1" applyFont="1" applyBorder="1" applyAlignment="1">
      <alignment horizontal="center" vertical="center"/>
    </xf>
    <xf numFmtId="165" fontId="56" fillId="0" borderId="37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" fontId="0" fillId="0" borderId="0" xfId="0" applyNumberFormat="1" applyAlignment="1">
      <alignment horizontal="left" vertical="center"/>
    </xf>
    <xf numFmtId="168" fontId="0" fillId="0" borderId="0" xfId="0" applyNumberFormat="1" applyAlignment="1">
      <alignment horizontal="left" vertical="center"/>
    </xf>
    <xf numFmtId="166" fontId="24" fillId="5" borderId="21" xfId="1" applyNumberFormat="1" applyFont="1" applyFill="1" applyBorder="1" applyAlignment="1">
      <alignment horizontal="left" vertical="center" wrapText="1"/>
    </xf>
    <xf numFmtId="168" fontId="24" fillId="0" borderId="12" xfId="0" applyNumberFormat="1" applyFont="1" applyBorder="1" applyAlignment="1">
      <alignment horizontal="center" vertical="center"/>
    </xf>
    <xf numFmtId="166" fontId="24" fillId="5" borderId="12" xfId="1" applyNumberFormat="1" applyFont="1" applyFill="1" applyBorder="1" applyAlignment="1">
      <alignment horizontal="left" vertical="center"/>
    </xf>
    <xf numFmtId="14" fontId="17" fillId="0" borderId="12" xfId="0" applyNumberFormat="1" applyFont="1" applyBorder="1" applyAlignment="1">
      <alignment horizontal="left" vertical="center"/>
    </xf>
    <xf numFmtId="0" fontId="17" fillId="0" borderId="12" xfId="0" applyFont="1" applyBorder="1" applyAlignment="1">
      <alignment horizontal="left"/>
    </xf>
    <xf numFmtId="168" fontId="68" fillId="0" borderId="12" xfId="0" applyNumberFormat="1" applyFont="1" applyBorder="1" applyAlignment="1">
      <alignment horizontal="center" vertical="center"/>
    </xf>
    <xf numFmtId="170" fontId="0" fillId="0" borderId="0" xfId="0" applyNumberFormat="1"/>
    <xf numFmtId="171" fontId="24" fillId="0" borderId="13" xfId="0" applyNumberFormat="1" applyFont="1" applyBorder="1" applyAlignment="1">
      <alignment horizontal="center" vertical="center"/>
    </xf>
    <xf numFmtId="171" fontId="24" fillId="0" borderId="12" xfId="0" applyNumberFormat="1" applyFont="1" applyBorder="1" applyAlignment="1">
      <alignment horizontal="center" vertical="center"/>
    </xf>
    <xf numFmtId="171" fontId="68" fillId="0" borderId="12" xfId="0" applyNumberFormat="1" applyFont="1" applyBorder="1" applyAlignment="1">
      <alignment horizontal="center" vertical="center"/>
    </xf>
    <xf numFmtId="171" fontId="26" fillId="0" borderId="12" xfId="0" applyNumberFormat="1" applyFont="1" applyBorder="1" applyAlignment="1">
      <alignment horizontal="center" vertical="center"/>
    </xf>
    <xf numFmtId="0" fontId="62" fillId="11" borderId="21" xfId="0" applyFont="1" applyFill="1" applyBorder="1" applyAlignment="1">
      <alignment horizontal="center" vertical="center" wrapText="1"/>
    </xf>
    <xf numFmtId="0" fontId="62" fillId="11" borderId="32" xfId="0" applyFont="1" applyFill="1" applyBorder="1" applyAlignment="1">
      <alignment horizontal="center" vertical="center" wrapText="1"/>
    </xf>
    <xf numFmtId="0" fontId="62" fillId="11" borderId="33" xfId="0" applyFont="1" applyFill="1" applyBorder="1" applyAlignment="1">
      <alignment horizontal="center" vertical="center" wrapText="1"/>
    </xf>
    <xf numFmtId="0" fontId="65" fillId="0" borderId="21" xfId="0" applyFont="1" applyBorder="1" applyAlignment="1">
      <alignment horizontal="center" vertical="center"/>
    </xf>
    <xf numFmtId="0" fontId="65" fillId="0" borderId="32" xfId="0" applyFont="1" applyBorder="1" applyAlignment="1">
      <alignment horizontal="center" vertical="center"/>
    </xf>
    <xf numFmtId="0" fontId="66" fillId="3" borderId="20" xfId="0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34" fillId="8" borderId="0" xfId="3" applyFont="1" applyFill="1" applyAlignment="1">
      <alignment horizontal="center" vertical="center" wrapText="1"/>
    </xf>
    <xf numFmtId="0" fontId="34" fillId="3" borderId="0" xfId="3" applyFont="1" applyFill="1" applyAlignment="1">
      <alignment horizontal="center" vertical="center" wrapText="1"/>
    </xf>
    <xf numFmtId="0" fontId="37" fillId="8" borderId="0" xfId="0" applyFont="1" applyFill="1" applyAlignment="1">
      <alignment horizontal="left" vertical="center"/>
    </xf>
    <xf numFmtId="0" fontId="41" fillId="8" borderId="0" xfId="0" applyFont="1" applyFill="1" applyAlignment="1">
      <alignment horizontal="left" vertical="center"/>
    </xf>
    <xf numFmtId="0" fontId="42" fillId="8" borderId="0" xfId="0" applyFont="1" applyFill="1" applyAlignment="1">
      <alignment horizontal="left" vertical="center"/>
    </xf>
    <xf numFmtId="0" fontId="41" fillId="8" borderId="0" xfId="0" applyFont="1" applyFill="1" applyAlignment="1">
      <alignment horizontal="left"/>
    </xf>
    <xf numFmtId="0" fontId="42" fillId="8" borderId="0" xfId="0" applyFont="1" applyFill="1" applyAlignment="1">
      <alignment horizontal="left"/>
    </xf>
    <xf numFmtId="0" fontId="54" fillId="0" borderId="9" xfId="0" applyFont="1" applyBorder="1" applyAlignment="1">
      <alignment horizontal="center" vertical="center"/>
    </xf>
    <xf numFmtId="0" fontId="54" fillId="0" borderId="22" xfId="0" applyFont="1" applyBorder="1" applyAlignment="1">
      <alignment horizontal="center" vertical="center"/>
    </xf>
    <xf numFmtId="0" fontId="54" fillId="0" borderId="23" xfId="0" applyFont="1" applyBorder="1" applyAlignment="1">
      <alignment horizontal="center" vertical="center"/>
    </xf>
    <xf numFmtId="0" fontId="55" fillId="0" borderId="24" xfId="0" applyFont="1" applyBorder="1" applyAlignment="1">
      <alignment horizontal="center" vertical="center"/>
    </xf>
    <xf numFmtId="0" fontId="56" fillId="0" borderId="0" xfId="0" applyFont="1" applyAlignment="1">
      <alignment horizontal="left" vertical="center"/>
    </xf>
    <xf numFmtId="0" fontId="56" fillId="0" borderId="0" xfId="0" applyFont="1" applyAlignment="1">
      <alignment horizontal="left" vertical="center" wrapText="1"/>
    </xf>
    <xf numFmtId="2" fontId="24" fillId="0" borderId="0" xfId="0" applyNumberFormat="1" applyFont="1" applyAlignment="1">
      <alignment horizontal="center"/>
    </xf>
    <xf numFmtId="0" fontId="59" fillId="2" borderId="2" xfId="0" applyFont="1" applyFill="1" applyBorder="1" applyAlignment="1">
      <alignment horizontal="left" vertical="center"/>
    </xf>
    <xf numFmtId="0" fontId="59" fillId="2" borderId="3" xfId="0" applyFont="1" applyFill="1" applyBorder="1" applyAlignment="1">
      <alignment horizontal="left" vertical="center"/>
    </xf>
    <xf numFmtId="0" fontId="59" fillId="2" borderId="3" xfId="0" applyFont="1" applyFill="1" applyBorder="1" applyAlignment="1">
      <alignment horizontal="center"/>
    </xf>
    <xf numFmtId="2" fontId="24" fillId="0" borderId="22" xfId="0" applyNumberFormat="1" applyFont="1" applyBorder="1" applyAlignment="1">
      <alignment horizontal="center"/>
    </xf>
    <xf numFmtId="0" fontId="57" fillId="3" borderId="9" xfId="0" applyFont="1" applyFill="1" applyBorder="1" applyAlignment="1">
      <alignment horizontal="center" vertical="center" wrapText="1"/>
    </xf>
    <xf numFmtId="0" fontId="57" fillId="3" borderId="22" xfId="0" applyFont="1" applyFill="1" applyBorder="1" applyAlignment="1">
      <alignment horizontal="center" vertical="center" wrapText="1"/>
    </xf>
    <xf numFmtId="2" fontId="56" fillId="0" borderId="25" xfId="0" applyNumberFormat="1" applyFont="1" applyBorder="1" applyAlignment="1">
      <alignment horizontal="center" vertical="center" wrapText="1"/>
    </xf>
    <xf numFmtId="2" fontId="56" fillId="0" borderId="26" xfId="0" applyNumberFormat="1" applyFont="1" applyBorder="1" applyAlignment="1">
      <alignment horizontal="center" vertical="center" wrapText="1"/>
    </xf>
    <xf numFmtId="3" fontId="56" fillId="0" borderId="26" xfId="0" applyNumberFormat="1" applyFont="1" applyBorder="1" applyAlignment="1">
      <alignment horizontal="center" vertical="center" wrapText="1"/>
    </xf>
    <xf numFmtId="169" fontId="56" fillId="0" borderId="26" xfId="0" applyNumberFormat="1" applyFont="1" applyBorder="1" applyAlignment="1">
      <alignment horizontal="center" vertical="center" wrapText="1"/>
    </xf>
    <xf numFmtId="2" fontId="24" fillId="0" borderId="24" xfId="0" applyNumberFormat="1" applyFont="1" applyBorder="1" applyAlignment="1">
      <alignment horizontal="center"/>
    </xf>
    <xf numFmtId="0" fontId="58" fillId="0" borderId="0" xfId="0" applyFont="1" applyAlignment="1">
      <alignment horizontal="left"/>
    </xf>
    <xf numFmtId="4" fontId="61" fillId="0" borderId="0" xfId="0" applyNumberFormat="1" applyFont="1" applyAlignment="1">
      <alignment horizontal="center"/>
    </xf>
    <xf numFmtId="0" fontId="55" fillId="0" borderId="0" xfId="0" applyFont="1" applyAlignment="1">
      <alignment horizontal="center"/>
    </xf>
    <xf numFmtId="0" fontId="55" fillId="0" borderId="28" xfId="0" applyFont="1" applyBorder="1" applyAlignment="1">
      <alignment horizontal="center"/>
    </xf>
    <xf numFmtId="0" fontId="61" fillId="0" borderId="0" xfId="0" applyFont="1" applyAlignment="1">
      <alignment horizontal="center"/>
    </xf>
  </cellXfs>
  <cellStyles count="4">
    <cellStyle name="Millares" xfId="1" builtinId="3"/>
    <cellStyle name="Normal" xfId="0" builtinId="0"/>
    <cellStyle name="Normal 17" xfId="2" xr:uid="{00000000-0005-0000-0000-000002000000}"/>
    <cellStyle name="Normal 6" xfId="3" xr:uid="{00000000-0005-0000-0000-000003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535518</xdr:colOff>
      <xdr:row>1</xdr:row>
      <xdr:rowOff>160868</xdr:rowOff>
    </xdr:from>
    <xdr:ext cx="474132" cy="459206"/>
    <xdr:pic>
      <xdr:nvPicPr>
        <xdr:cNvPr id="2" name="Imagen 1" descr="C:\Users\G-FIVR\Pictures\LOGO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470843" y="313268"/>
          <a:ext cx="474132" cy="459206"/>
        </a:xfrm>
        <a:prstGeom prst="ellipse">
          <a:avLst/>
        </a:prstGeom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45967</xdr:colOff>
      <xdr:row>0</xdr:row>
      <xdr:rowOff>171297</xdr:rowOff>
    </xdr:from>
    <xdr:ext cx="576076" cy="439217"/>
    <xdr:pic>
      <xdr:nvPicPr>
        <xdr:cNvPr id="2" name="Imagen 1" descr="C:\Users\G-FIVR\Pictures\LOGO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5042" y="171297"/>
          <a:ext cx="576076" cy="439217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381000</xdr:colOff>
      <xdr:row>3</xdr:row>
      <xdr:rowOff>99391</xdr:rowOff>
    </xdr:from>
    <xdr:ext cx="790575" cy="648000"/>
    <xdr:pic>
      <xdr:nvPicPr>
        <xdr:cNvPr id="2" name="Imagen 1" descr="C:\Users\G-FIVR\Pictures\LOGO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1000" y="547066"/>
          <a:ext cx="790575" cy="64800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281609</xdr:colOff>
      <xdr:row>30</xdr:row>
      <xdr:rowOff>124238</xdr:rowOff>
    </xdr:from>
    <xdr:ext cx="1020429" cy="648000"/>
    <xdr:pic>
      <xdr:nvPicPr>
        <xdr:cNvPr id="3" name="Imagen 2" descr="C:\Users\G-FIVR\Pictures\LOGO.jp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1609" y="4477163"/>
          <a:ext cx="1020429" cy="64800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381000</xdr:colOff>
      <xdr:row>57</xdr:row>
      <xdr:rowOff>99391</xdr:rowOff>
    </xdr:from>
    <xdr:ext cx="1020429" cy="648000"/>
    <xdr:pic>
      <xdr:nvPicPr>
        <xdr:cNvPr id="4" name="Imagen 3" descr="C:\Users\G-FIVR\Pictures\LOGO.jp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1000" y="7967041"/>
          <a:ext cx="1020429" cy="64800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281609</xdr:colOff>
      <xdr:row>85</xdr:row>
      <xdr:rowOff>124238</xdr:rowOff>
    </xdr:from>
    <xdr:ext cx="1020429" cy="648000"/>
    <xdr:pic>
      <xdr:nvPicPr>
        <xdr:cNvPr id="5" name="Imagen 4" descr="C:\Users\G-FIVR\Pictures\LOGO.jpg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1609" y="11439938"/>
          <a:ext cx="1020429" cy="64800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381000</xdr:colOff>
      <xdr:row>113</xdr:row>
      <xdr:rowOff>99391</xdr:rowOff>
    </xdr:from>
    <xdr:ext cx="1020429" cy="648000"/>
    <xdr:pic>
      <xdr:nvPicPr>
        <xdr:cNvPr id="6" name="Imagen 5" descr="C:\Users\G-FIVR\Pictures\LOGO.jpg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1000" y="14920291"/>
          <a:ext cx="1020429" cy="64800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281609</xdr:colOff>
      <xdr:row>142</xdr:row>
      <xdr:rowOff>124238</xdr:rowOff>
    </xdr:from>
    <xdr:ext cx="1020429" cy="648000"/>
    <xdr:pic>
      <xdr:nvPicPr>
        <xdr:cNvPr id="10" name="Imagen 9" descr="C:\Users\G-FIVR\Pictures\LOGO.jpg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1609" y="28832588"/>
          <a:ext cx="1020429" cy="64800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281609</xdr:colOff>
      <xdr:row>170</xdr:row>
      <xdr:rowOff>124238</xdr:rowOff>
    </xdr:from>
    <xdr:ext cx="1020429" cy="648000"/>
    <xdr:pic>
      <xdr:nvPicPr>
        <xdr:cNvPr id="12" name="Imagen 11" descr="C:\Users\G-FIVR\Pictures\LOGO.jpg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1609" y="35566763"/>
          <a:ext cx="1020429" cy="64800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381000</xdr:colOff>
      <xdr:row>197</xdr:row>
      <xdr:rowOff>99391</xdr:rowOff>
    </xdr:from>
    <xdr:ext cx="1020429" cy="648000"/>
    <xdr:pic>
      <xdr:nvPicPr>
        <xdr:cNvPr id="13" name="Imagen 12" descr="C:\Users\G-FIVR\Pictures\LOGO.jpg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1000" y="38970916"/>
          <a:ext cx="1020429" cy="64800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381000</xdr:colOff>
      <xdr:row>223</xdr:row>
      <xdr:rowOff>99391</xdr:rowOff>
    </xdr:from>
    <xdr:ext cx="1020429" cy="648000"/>
    <xdr:pic>
      <xdr:nvPicPr>
        <xdr:cNvPr id="15" name="Imagen 14" descr="C:\Users\G-FIVR\Pictures\LOGO.jpg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1000" y="29398291"/>
          <a:ext cx="1020429" cy="64800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ECURSOSHUMANOS.GFO/Documents/NOMINA%20GFO/NOMINAS%20RRHH/1-%20CALCULO%20NOMINAS%20GFO%20FARMA%20OSPINOS/DICIEMBRE/2%20SEMANA/GFO/NOMINA%20SEMANAL%20GFO%20DEL%2008%20AL%2014-12-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ECURSOSHUMANOS.GFO/Documents/NOMINA%20GFO/NOMINAS%20RRHH/1-%20CALCULO%20NOMINAS%20GFO%20FARMA%20OSPINOS/LISTADO%20PERSONAL%20ACTIV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. TXT"/>
      <sheetName val="LISTADOS"/>
      <sheetName val="CALCULO BS"/>
      <sheetName val="CALCULO BONO "/>
      <sheetName val="RC PAGO BS LOS YANEZ"/>
      <sheetName val="RC PAGO BS FARMANOSTRA"/>
      <sheetName val="RC PAGO BS CORPORATIVO"/>
      <sheetName val="RC PAGO BS MAMANICO"/>
      <sheetName val="RC PAGO BS LOS LLANOS"/>
      <sheetName val="DATOS"/>
      <sheetName val="RC PAGO BS SANTA CRUZ"/>
      <sheetName val="RC PAGO BS FARPACA"/>
      <sheetName val="RC PAGO BS MAMANICO SUC"/>
    </sheetNames>
    <sheetDataSet>
      <sheetData sheetId="0"/>
      <sheetData sheetId="1">
        <row r="4">
          <cell r="A4" t="str">
            <v>SEMANA DEL 08/12/2025 AL 14/12/2025</v>
          </cell>
        </row>
        <row r="5">
          <cell r="P5">
            <v>267.75</v>
          </cell>
        </row>
        <row r="7">
          <cell r="C7">
            <v>15906403</v>
          </cell>
          <cell r="D7">
            <v>45362</v>
          </cell>
          <cell r="E7" t="str">
            <v>COORD. ADMINISTRATIVO</v>
          </cell>
        </row>
        <row r="8">
          <cell r="C8">
            <v>30329814</v>
          </cell>
          <cell r="D8">
            <v>45136</v>
          </cell>
          <cell r="E8" t="str">
            <v>CAJERO (A)</v>
          </cell>
        </row>
        <row r="9">
          <cell r="C9">
            <v>31272373</v>
          </cell>
          <cell r="D9">
            <v>44998</v>
          </cell>
          <cell r="E9" t="str">
            <v>AUX. DE ALMACEN</v>
          </cell>
        </row>
        <row r="10">
          <cell r="C10">
            <v>19031701</v>
          </cell>
          <cell r="D10">
            <v>45474</v>
          </cell>
          <cell r="E10" t="str">
            <v>AUX. DE ALMACEN</v>
          </cell>
        </row>
        <row r="11">
          <cell r="C11">
            <v>12647713</v>
          </cell>
          <cell r="D11">
            <v>45079</v>
          </cell>
          <cell r="E11" t="str">
            <v>SUPERVISOR DE VENTAS</v>
          </cell>
        </row>
        <row r="12">
          <cell r="C12">
            <v>13329198</v>
          </cell>
          <cell r="D12">
            <v>45378</v>
          </cell>
          <cell r="E12" t="str">
            <v>CAJERO (A)</v>
          </cell>
        </row>
        <row r="13">
          <cell r="C13">
            <v>27938750</v>
          </cell>
          <cell r="D13">
            <v>45474</v>
          </cell>
          <cell r="E13" t="str">
            <v>CAJERO (A)</v>
          </cell>
        </row>
        <row r="14">
          <cell r="C14">
            <v>25016178</v>
          </cell>
          <cell r="D14">
            <v>45691</v>
          </cell>
          <cell r="E14" t="str">
            <v>CAJERO (A)</v>
          </cell>
        </row>
        <row r="15">
          <cell r="C15">
            <v>28427378</v>
          </cell>
          <cell r="D15">
            <v>45708</v>
          </cell>
          <cell r="E15" t="str">
            <v xml:space="preserve">SUPERVISOR DE ALMACEN </v>
          </cell>
        </row>
        <row r="16">
          <cell r="C16">
            <v>29632132</v>
          </cell>
          <cell r="D16">
            <v>45712</v>
          </cell>
          <cell r="E16" t="str">
            <v>CAJERO (A)</v>
          </cell>
        </row>
        <row r="17">
          <cell r="C17">
            <v>26940897</v>
          </cell>
          <cell r="D17">
            <v>45712</v>
          </cell>
          <cell r="E17" t="str">
            <v>GERENTE</v>
          </cell>
        </row>
        <row r="18">
          <cell r="C18">
            <v>18251792</v>
          </cell>
          <cell r="D18">
            <v>45323</v>
          </cell>
          <cell r="E18" t="str">
            <v>FARMACEUTICO</v>
          </cell>
        </row>
        <row r="19">
          <cell r="C19">
            <v>30240358</v>
          </cell>
          <cell r="D19">
            <v>45999</v>
          </cell>
          <cell r="E19" t="str">
            <v>PROMOTOR DE VENTA</v>
          </cell>
        </row>
        <row r="20">
          <cell r="C20">
            <v>21561594</v>
          </cell>
          <cell r="D20">
            <v>45999</v>
          </cell>
          <cell r="E20" t="str">
            <v>CAJERO (A)</v>
          </cell>
        </row>
        <row r="21">
          <cell r="C21">
            <v>15237079</v>
          </cell>
          <cell r="D21">
            <v>45601</v>
          </cell>
          <cell r="E21" t="str">
            <v>DIRECTIVO</v>
          </cell>
        </row>
        <row r="22">
          <cell r="C22">
            <v>24616618</v>
          </cell>
          <cell r="D22">
            <v>45441</v>
          </cell>
          <cell r="E22" t="str">
            <v>CAJERO (A)</v>
          </cell>
        </row>
        <row r="23">
          <cell r="C23">
            <v>15886645</v>
          </cell>
          <cell r="D23">
            <v>45659</v>
          </cell>
          <cell r="E23" t="str">
            <v>GERENTE</v>
          </cell>
        </row>
        <row r="24">
          <cell r="C24">
            <v>31202590</v>
          </cell>
          <cell r="D24">
            <v>45788</v>
          </cell>
          <cell r="E24" t="str">
            <v>CAJERO (A)</v>
          </cell>
        </row>
        <row r="25">
          <cell r="C25">
            <v>27936981</v>
          </cell>
          <cell r="D25">
            <v>45799</v>
          </cell>
          <cell r="E25" t="str">
            <v>AUX. DE ALMACEN</v>
          </cell>
        </row>
        <row r="26">
          <cell r="C26">
            <v>25162417</v>
          </cell>
          <cell r="D26">
            <v>45846</v>
          </cell>
          <cell r="E26" t="str">
            <v>CAJERO (A)</v>
          </cell>
        </row>
        <row r="27">
          <cell r="C27">
            <v>20544667</v>
          </cell>
          <cell r="D27">
            <v>45862</v>
          </cell>
          <cell r="E27" t="str">
            <v xml:space="preserve">SUPERVISOR DE ALMACEN </v>
          </cell>
        </row>
        <row r="28">
          <cell r="C28">
            <v>15445083</v>
          </cell>
          <cell r="D28">
            <v>45909</v>
          </cell>
          <cell r="E28" t="str">
            <v>COORD. ADMINISTRATIVO</v>
          </cell>
        </row>
        <row r="29">
          <cell r="C29">
            <v>17049673</v>
          </cell>
          <cell r="D29">
            <v>45979</v>
          </cell>
          <cell r="E29" t="str">
            <v>AUX. DE ALMACEN</v>
          </cell>
        </row>
        <row r="30">
          <cell r="C30">
            <v>31054058</v>
          </cell>
          <cell r="D30">
            <v>45894</v>
          </cell>
          <cell r="E30" t="str">
            <v>CAJERO (A)</v>
          </cell>
        </row>
        <row r="31">
          <cell r="C31">
            <v>10052314</v>
          </cell>
          <cell r="D31">
            <v>44979</v>
          </cell>
          <cell r="E31" t="str">
            <v>FARMACEUTICO</v>
          </cell>
        </row>
        <row r="32">
          <cell r="C32">
            <v>18102594</v>
          </cell>
          <cell r="D32">
            <v>45293</v>
          </cell>
          <cell r="E32" t="str">
            <v>COORD. DE INVENTARIO</v>
          </cell>
        </row>
        <row r="33">
          <cell r="C33">
            <v>30074456</v>
          </cell>
          <cell r="D33">
            <v>45309</v>
          </cell>
          <cell r="E33" t="str">
            <v>COORD. FINANCIERO</v>
          </cell>
        </row>
        <row r="34">
          <cell r="C34">
            <v>20643419</v>
          </cell>
          <cell r="D34">
            <v>45314</v>
          </cell>
          <cell r="E34" t="str">
            <v>COORD. DE COMPRAS</v>
          </cell>
        </row>
        <row r="35">
          <cell r="C35">
            <v>14271963</v>
          </cell>
          <cell r="D35">
            <v>45911</v>
          </cell>
          <cell r="E35" t="str">
            <v>ESPECIALISTA DE RRHH</v>
          </cell>
        </row>
        <row r="36">
          <cell r="C36">
            <v>20271643</v>
          </cell>
          <cell r="D36">
            <v>45936</v>
          </cell>
          <cell r="E36" t="str">
            <v>ESPECIALISTA DE RRHH</v>
          </cell>
        </row>
        <row r="37">
          <cell r="C37">
            <v>13038433</v>
          </cell>
          <cell r="D37">
            <v>45733</v>
          </cell>
          <cell r="E37" t="str">
            <v>COORD. CUENTAS POR PAGAR</v>
          </cell>
        </row>
        <row r="38">
          <cell r="C38">
            <v>19678992</v>
          </cell>
          <cell r="D38">
            <v>45761</v>
          </cell>
          <cell r="E38" t="str">
            <v>COORD. CUENTAS POR PAGAR</v>
          </cell>
        </row>
        <row r="39">
          <cell r="C39">
            <v>17363079</v>
          </cell>
          <cell r="D39">
            <v>45894</v>
          </cell>
          <cell r="E39" t="str">
            <v>ESPECIALISTA DE INVENTARIO</v>
          </cell>
        </row>
        <row r="40">
          <cell r="C40">
            <v>29919196</v>
          </cell>
          <cell r="D40">
            <v>45999</v>
          </cell>
          <cell r="E40" t="str">
            <v>ANALISTA DE TESORERIA</v>
          </cell>
        </row>
        <row r="41">
          <cell r="C41">
            <v>25956343</v>
          </cell>
          <cell r="D41">
            <v>46000</v>
          </cell>
          <cell r="E41" t="str">
            <v>ANALISTA DE TESORERIA</v>
          </cell>
        </row>
        <row r="42">
          <cell r="C42">
            <v>16520363</v>
          </cell>
          <cell r="D42">
            <v>45294</v>
          </cell>
          <cell r="E42" t="str">
            <v>GERENTE</v>
          </cell>
        </row>
        <row r="43">
          <cell r="C43">
            <v>18224805</v>
          </cell>
          <cell r="D43">
            <v>45342</v>
          </cell>
          <cell r="E43" t="str">
            <v>COORD. ADMINISTRATIVO</v>
          </cell>
        </row>
        <row r="44">
          <cell r="C44">
            <v>24807692</v>
          </cell>
          <cell r="D44">
            <v>45139</v>
          </cell>
          <cell r="E44" t="str">
            <v>CHOFER</v>
          </cell>
        </row>
        <row r="45">
          <cell r="C45">
            <v>26705934</v>
          </cell>
          <cell r="D45">
            <v>45558</v>
          </cell>
          <cell r="E45" t="str">
            <v>AUX. DE ALMACEN</v>
          </cell>
        </row>
        <row r="46">
          <cell r="C46">
            <v>15399781</v>
          </cell>
          <cell r="D46">
            <v>45261</v>
          </cell>
          <cell r="E46" t="str">
            <v>CAJERO (A)</v>
          </cell>
        </row>
        <row r="47">
          <cell r="C47">
            <v>17616649</v>
          </cell>
          <cell r="D47">
            <v>45313</v>
          </cell>
          <cell r="E47" t="str">
            <v>CAJERO (A)</v>
          </cell>
        </row>
        <row r="48">
          <cell r="C48">
            <v>21562526</v>
          </cell>
          <cell r="D48">
            <v>45321</v>
          </cell>
          <cell r="E48" t="str">
            <v>CAJERO (A)</v>
          </cell>
        </row>
        <row r="49">
          <cell r="C49">
            <v>23485080</v>
          </cell>
          <cell r="D49">
            <v>45847</v>
          </cell>
          <cell r="E49" t="str">
            <v>AUX. DE ALMACEN</v>
          </cell>
        </row>
        <row r="50">
          <cell r="C50">
            <v>12647918</v>
          </cell>
          <cell r="D50">
            <v>45139</v>
          </cell>
          <cell r="E50" t="str">
            <v>FARMACEUTICO</v>
          </cell>
        </row>
        <row r="51">
          <cell r="C51">
            <v>18101843</v>
          </cell>
          <cell r="D51">
            <v>45958</v>
          </cell>
          <cell r="E51" t="str">
            <v>CAJERO (A)</v>
          </cell>
        </row>
        <row r="52">
          <cell r="C52">
            <v>17362211</v>
          </cell>
          <cell r="D52">
            <v>45978</v>
          </cell>
          <cell r="E52" t="str">
            <v>CAJERO (A)</v>
          </cell>
        </row>
        <row r="53">
          <cell r="C53">
            <v>18891102</v>
          </cell>
          <cell r="D53">
            <v>45978</v>
          </cell>
          <cell r="E53" t="str">
            <v xml:space="preserve">SUPERVISOR DE ALMACEN </v>
          </cell>
        </row>
        <row r="54">
          <cell r="C54">
            <v>13534905</v>
          </cell>
          <cell r="D54">
            <v>45971</v>
          </cell>
          <cell r="E54" t="str">
            <v>CAJERO (A)</v>
          </cell>
        </row>
        <row r="55">
          <cell r="C55">
            <v>24935968</v>
          </cell>
          <cell r="D55">
            <v>44565</v>
          </cell>
          <cell r="E55" t="str">
            <v>GERENTE</v>
          </cell>
        </row>
        <row r="56">
          <cell r="C56">
            <v>25761830</v>
          </cell>
          <cell r="D56">
            <v>45936</v>
          </cell>
          <cell r="E56" t="str">
            <v>COORD. ADMINISTRATIVO</v>
          </cell>
        </row>
        <row r="57">
          <cell r="C57">
            <v>26059254</v>
          </cell>
          <cell r="D57">
            <v>45127</v>
          </cell>
          <cell r="E57" t="str">
            <v xml:space="preserve">SUPERVISOR DE ALMACEN </v>
          </cell>
        </row>
        <row r="58">
          <cell r="C58">
            <v>33082518</v>
          </cell>
          <cell r="D58">
            <v>44662</v>
          </cell>
          <cell r="E58" t="str">
            <v>CAJERO (A)</v>
          </cell>
        </row>
        <row r="59">
          <cell r="C59">
            <v>21022978</v>
          </cell>
          <cell r="D59">
            <v>45146</v>
          </cell>
          <cell r="E59" t="str">
            <v>CAJERO (A)</v>
          </cell>
        </row>
        <row r="60">
          <cell r="C60">
            <v>14347620</v>
          </cell>
          <cell r="D60">
            <v>45293</v>
          </cell>
          <cell r="E60" t="str">
            <v>SERVICIOS GENERALES</v>
          </cell>
        </row>
        <row r="61">
          <cell r="C61">
            <v>16752853</v>
          </cell>
          <cell r="D61">
            <v>45427</v>
          </cell>
          <cell r="E61" t="str">
            <v>MANTENIMIENTO</v>
          </cell>
        </row>
        <row r="62">
          <cell r="C62">
            <v>25761760</v>
          </cell>
          <cell r="D62">
            <v>45552</v>
          </cell>
          <cell r="E62" t="str">
            <v>CAJERO (A)</v>
          </cell>
        </row>
        <row r="63">
          <cell r="C63">
            <v>24340635</v>
          </cell>
          <cell r="D63">
            <v>45573</v>
          </cell>
          <cell r="E63" t="str">
            <v>CAJERO (A)</v>
          </cell>
        </row>
        <row r="64">
          <cell r="C64">
            <v>10724647</v>
          </cell>
          <cell r="D64">
            <v>45474</v>
          </cell>
          <cell r="E64" t="str">
            <v>FARMACEUTICO</v>
          </cell>
        </row>
        <row r="65">
          <cell r="C65">
            <v>15798914</v>
          </cell>
          <cell r="D65">
            <v>45978</v>
          </cell>
          <cell r="E65" t="str">
            <v>CAJERO (A)</v>
          </cell>
        </row>
        <row r="66">
          <cell r="C66">
            <v>29919357</v>
          </cell>
          <cell r="D66">
            <v>45978</v>
          </cell>
          <cell r="E66" t="str">
            <v>AUX. DE ALMACEN</v>
          </cell>
        </row>
        <row r="67">
          <cell r="C67">
            <v>21135632</v>
          </cell>
          <cell r="D67">
            <v>44805</v>
          </cell>
          <cell r="E67" t="str">
            <v>DIRECTIVO</v>
          </cell>
        </row>
        <row r="68">
          <cell r="C68">
            <v>27898981</v>
          </cell>
          <cell r="D68">
            <v>45846</v>
          </cell>
          <cell r="E68" t="str">
            <v>AUX. DE ALMACEN</v>
          </cell>
        </row>
        <row r="69">
          <cell r="C69">
            <v>14178811</v>
          </cell>
          <cell r="D69">
            <v>45848</v>
          </cell>
          <cell r="E69" t="str">
            <v>CAJERO (A)</v>
          </cell>
        </row>
        <row r="70">
          <cell r="C70">
            <v>31345492</v>
          </cell>
          <cell r="D70">
            <v>45908</v>
          </cell>
          <cell r="E70" t="str">
            <v>SUPERVISOR DE VENTAS</v>
          </cell>
        </row>
        <row r="71">
          <cell r="C71">
            <v>24320202</v>
          </cell>
          <cell r="D71">
            <v>45659</v>
          </cell>
          <cell r="E71" t="str">
            <v>CAJERO (A)</v>
          </cell>
        </row>
        <row r="72">
          <cell r="C72">
            <v>19376483</v>
          </cell>
          <cell r="D72">
            <v>45659</v>
          </cell>
          <cell r="E72" t="str">
            <v>CAJERO (A)</v>
          </cell>
        </row>
        <row r="73">
          <cell r="C73">
            <v>10638320</v>
          </cell>
          <cell r="D73">
            <v>45659</v>
          </cell>
          <cell r="E73" t="str">
            <v>CAJERO (A)</v>
          </cell>
        </row>
        <row r="74">
          <cell r="C74">
            <v>27277686</v>
          </cell>
          <cell r="D74">
            <v>45659</v>
          </cell>
          <cell r="E74" t="str">
            <v>GERENTE</v>
          </cell>
        </row>
        <row r="75">
          <cell r="C75">
            <v>23032373</v>
          </cell>
          <cell r="D75">
            <v>45733</v>
          </cell>
          <cell r="E75" t="str">
            <v>CAJERO (A)</v>
          </cell>
        </row>
        <row r="76">
          <cell r="C76">
            <v>22988948</v>
          </cell>
          <cell r="D76">
            <v>45873</v>
          </cell>
          <cell r="E76" t="str">
            <v>CAJERO (A)</v>
          </cell>
        </row>
        <row r="77">
          <cell r="C77">
            <v>10143962</v>
          </cell>
          <cell r="D77">
            <v>45659</v>
          </cell>
          <cell r="E77" t="str">
            <v>FARMACEUTICO</v>
          </cell>
        </row>
        <row r="78">
          <cell r="C78">
            <v>12265596</v>
          </cell>
          <cell r="D78">
            <v>45909</v>
          </cell>
          <cell r="E78" t="str">
            <v>COORD. ADMINISTRATIVO</v>
          </cell>
        </row>
        <row r="79">
          <cell r="C79">
            <v>15070132</v>
          </cell>
          <cell r="D79">
            <v>45908</v>
          </cell>
          <cell r="E79" t="str">
            <v>CAJERO (A)</v>
          </cell>
        </row>
        <row r="80">
          <cell r="C80">
            <v>16414279</v>
          </cell>
          <cell r="D80">
            <v>45986</v>
          </cell>
          <cell r="E80" t="str">
            <v>CAJERO (A)</v>
          </cell>
        </row>
        <row r="81">
          <cell r="C81">
            <v>12088699</v>
          </cell>
          <cell r="D81">
            <v>45987</v>
          </cell>
          <cell r="E81" t="str">
            <v>CAJERO (A)</v>
          </cell>
        </row>
        <row r="82">
          <cell r="C82">
            <v>12236585</v>
          </cell>
          <cell r="D82">
            <v>45917</v>
          </cell>
          <cell r="E82" t="str">
            <v>COORD. ADMINISTRATIVO</v>
          </cell>
        </row>
        <row r="83">
          <cell r="C83">
            <v>9255941</v>
          </cell>
          <cell r="D83">
            <v>45901</v>
          </cell>
          <cell r="E83" t="str">
            <v>CAJERO (A)</v>
          </cell>
        </row>
        <row r="84">
          <cell r="C84">
            <v>29632098</v>
          </cell>
          <cell r="D84">
            <v>45901</v>
          </cell>
          <cell r="E84" t="str">
            <v xml:space="preserve">SUPERVISOR DE ALMACEN </v>
          </cell>
        </row>
        <row r="85">
          <cell r="C85">
            <v>26151681</v>
          </cell>
          <cell r="D85">
            <v>45901</v>
          </cell>
          <cell r="E85" t="str">
            <v>CAJERO (A)</v>
          </cell>
        </row>
        <row r="86">
          <cell r="C86">
            <v>13486066</v>
          </cell>
          <cell r="D86">
            <v>45901</v>
          </cell>
          <cell r="E86" t="str">
            <v>AUX. DE ALMACEN</v>
          </cell>
        </row>
        <row r="87">
          <cell r="C87">
            <v>25710572</v>
          </cell>
          <cell r="D87">
            <v>45908</v>
          </cell>
          <cell r="E87" t="str">
            <v>GERENTE</v>
          </cell>
        </row>
        <row r="88">
          <cell r="C88">
            <v>23551673</v>
          </cell>
          <cell r="D88">
            <v>45936</v>
          </cell>
          <cell r="E88" t="str">
            <v>CAJERO (A)</v>
          </cell>
        </row>
        <row r="89">
          <cell r="C89">
            <v>18893944</v>
          </cell>
          <cell r="D89">
            <v>45936</v>
          </cell>
          <cell r="E89" t="str">
            <v>CAJERO (A)</v>
          </cell>
        </row>
        <row r="90">
          <cell r="C90">
            <v>32489512</v>
          </cell>
          <cell r="D90">
            <v>45992</v>
          </cell>
          <cell r="E90" t="str">
            <v>CAJERO (A)</v>
          </cell>
        </row>
        <row r="91">
          <cell r="C91">
            <v>31812734</v>
          </cell>
          <cell r="D91">
            <v>45992</v>
          </cell>
          <cell r="E91" t="str">
            <v>CAJERO (A)</v>
          </cell>
        </row>
        <row r="92">
          <cell r="C92">
            <v>17882694</v>
          </cell>
          <cell r="D92">
            <v>45887</v>
          </cell>
          <cell r="E92" t="str">
            <v>COORD. ADMINISTRATIVO</v>
          </cell>
        </row>
        <row r="93">
          <cell r="C93">
            <v>16072175</v>
          </cell>
          <cell r="D93">
            <v>45887</v>
          </cell>
          <cell r="E93" t="str">
            <v>CAJERO (A)</v>
          </cell>
        </row>
        <row r="94">
          <cell r="C94">
            <v>10726140</v>
          </cell>
          <cell r="D94">
            <v>45887</v>
          </cell>
          <cell r="E94" t="str">
            <v>CAJERO (A)</v>
          </cell>
        </row>
        <row r="95">
          <cell r="C95">
            <v>12238203</v>
          </cell>
          <cell r="D95">
            <v>45887</v>
          </cell>
          <cell r="E95" t="str">
            <v>CAJERO (A)</v>
          </cell>
        </row>
        <row r="96">
          <cell r="C96">
            <v>27102918</v>
          </cell>
          <cell r="D96">
            <v>45887</v>
          </cell>
          <cell r="E96" t="str">
            <v>CAJERO (A)</v>
          </cell>
        </row>
        <row r="97">
          <cell r="C97">
            <v>4138739</v>
          </cell>
          <cell r="D97">
            <v>45887</v>
          </cell>
          <cell r="E97" t="str">
            <v>FARMACEUTICO</v>
          </cell>
        </row>
        <row r="98">
          <cell r="C98">
            <v>12240037</v>
          </cell>
          <cell r="D98">
            <v>45999</v>
          </cell>
          <cell r="E98" t="str">
            <v>CAJERO (A)</v>
          </cell>
        </row>
      </sheetData>
      <sheetData sheetId="2">
        <row r="6">
          <cell r="B6" t="str">
            <v>NOMBRE</v>
          </cell>
          <cell r="C6" t="str">
            <v>CI</v>
          </cell>
          <cell r="D6" t="str">
            <v>F.INGRESO</v>
          </cell>
          <cell r="E6" t="str">
            <v>CARGO</v>
          </cell>
          <cell r="F6" t="str">
            <v xml:space="preserve">EMPRESA </v>
          </cell>
          <cell r="G6" t="str">
            <v>RIF</v>
          </cell>
          <cell r="H6" t="str">
            <v>DIRECCION</v>
          </cell>
          <cell r="I6" t="str">
            <v>BANCO</v>
          </cell>
          <cell r="J6" t="str">
            <v>N° CUENTA</v>
          </cell>
          <cell r="K6" t="str">
            <v>TIPO</v>
          </cell>
          <cell r="L6" t="str">
            <v>SALARIO INTEGRAL BS</v>
          </cell>
          <cell r="M6" t="str">
            <v>SALARIO SEMANA BS</v>
          </cell>
          <cell r="N6" t="str">
            <v>SALARIO DIARIO</v>
          </cell>
          <cell r="O6" t="str">
            <v>HORAS</v>
          </cell>
          <cell r="P6" t="str">
            <v>REPOSO 33,33%</v>
          </cell>
          <cell r="Q6" t="str">
            <v>N</v>
          </cell>
          <cell r="R6" t="str">
            <v>DIAS LABORADOS</v>
          </cell>
          <cell r="S6" t="str">
            <v>N°</v>
          </cell>
          <cell r="T6" t="str">
            <v>DIAS DE DESCANSO</v>
          </cell>
          <cell r="U6" t="str">
            <v>N°</v>
          </cell>
          <cell r="V6" t="str">
            <v>DIAS DE DESCANSO / FERIADOS LABORADOS</v>
          </cell>
          <cell r="W6" t="str">
            <v>N°</v>
          </cell>
          <cell r="X6" t="str">
            <v>REPOSO 100%</v>
          </cell>
          <cell r="Y6" t="str">
            <v>N°</v>
          </cell>
          <cell r="Z6" t="str">
            <v>REPOSO 33,33%</v>
          </cell>
          <cell r="AA6" t="str">
            <v>TRANSPORTE</v>
          </cell>
          <cell r="AB6" t="str">
            <v>N°</v>
          </cell>
          <cell r="AC6" t="str">
            <v>HORAS EXTRAS DIURNA</v>
          </cell>
          <cell r="AD6" t="str">
            <v>N°</v>
          </cell>
          <cell r="AE6" t="str">
            <v>BONO NOTURNO</v>
          </cell>
          <cell r="AF6" t="str">
            <v>PAGO EXTRAS</v>
          </cell>
          <cell r="AG6" t="str">
            <v>BONIFICACION DEL MES</v>
          </cell>
          <cell r="AH6" t="str">
            <v>TOTAL ASIGNACION</v>
          </cell>
          <cell r="AI6" t="str">
            <v>N° LUNES</v>
          </cell>
          <cell r="AJ6" t="str">
            <v>IVSS</v>
          </cell>
          <cell r="AK6" t="str">
            <v>RPE</v>
          </cell>
          <cell r="AL6" t="str">
            <v>INCE</v>
          </cell>
          <cell r="AM6" t="str">
            <v>FAOV</v>
          </cell>
          <cell r="AN6" t="str">
            <v>N</v>
          </cell>
          <cell r="AO6" t="str">
            <v>PERMISO NO REMUNERADO</v>
          </cell>
          <cell r="AP6" t="str">
            <v>N°</v>
          </cell>
          <cell r="AQ6" t="str">
            <v>FALTA INJUSTIFICADA</v>
          </cell>
          <cell r="AR6" t="str">
            <v>RETARDO</v>
          </cell>
          <cell r="AS6" t="str">
            <v>TOTAL DEDUCIONES</v>
          </cell>
          <cell r="AT6" t="str">
            <v>NETO PAGAR EN BS.</v>
          </cell>
          <cell r="AU6" t="str">
            <v>NETO PAGAR EN $</v>
          </cell>
          <cell r="AV6" t="str">
            <v>OBSERVACIONES</v>
          </cell>
          <cell r="AW6" t="str">
            <v>FARMACIA</v>
          </cell>
        </row>
        <row r="7">
          <cell r="B7" t="str">
            <v>YEREHIMA CARDENAS JAIME</v>
          </cell>
          <cell r="C7">
            <v>15906403</v>
          </cell>
          <cell r="D7">
            <v>45362</v>
          </cell>
          <cell r="E7" t="str">
            <v>COORD. ADMINISTRATIVO</v>
          </cell>
          <cell r="F7" t="str">
            <v xml:space="preserve">FARMACIA LOS YANEZ DE OSPINO, C.A </v>
          </cell>
          <cell r="G7" t="str">
            <v>RIF  J-500253052</v>
          </cell>
          <cell r="H7" t="str">
            <v>Carrera 3 esquina calle 10, Barrio curazao</v>
          </cell>
          <cell r="I7" t="str">
            <v>BANCO MERCANTIL</v>
          </cell>
          <cell r="J7" t="str">
            <v>0105-0059-17-0059291494</v>
          </cell>
          <cell r="K7" t="str">
            <v>AHORRO</v>
          </cell>
          <cell r="L7">
            <v>29452.5</v>
          </cell>
          <cell r="M7">
            <v>2500</v>
          </cell>
          <cell r="N7">
            <v>357.14285714285717</v>
          </cell>
          <cell r="O7">
            <v>47.61904761904762</v>
          </cell>
          <cell r="P7">
            <v>119.03571428571429</v>
          </cell>
          <cell r="Q7">
            <v>5</v>
          </cell>
          <cell r="R7">
            <v>1785.7142857142858</v>
          </cell>
          <cell r="S7">
            <v>2</v>
          </cell>
          <cell r="T7">
            <v>714.28571428571433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2500</v>
          </cell>
          <cell r="AI7">
            <v>1</v>
          </cell>
          <cell r="AJ7">
            <v>6</v>
          </cell>
          <cell r="AK7">
            <v>0.75</v>
          </cell>
          <cell r="AM7">
            <v>25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S7">
            <v>31.75</v>
          </cell>
          <cell r="AT7">
            <v>2468.25</v>
          </cell>
          <cell r="AV7" t="str">
            <v>1/2 DIA DE PERMISO 09/12/25 ACTIVIDAD ESCOLAR DE LA HIJA</v>
          </cell>
          <cell r="AW7" t="str">
            <v xml:space="preserve">FARMACIA LOS YANEZ DE OSPINO, C.A </v>
          </cell>
        </row>
        <row r="8">
          <cell r="B8" t="str">
            <v xml:space="preserve">ADRIANA MORENO MARQUEZ </v>
          </cell>
          <cell r="C8">
            <v>30329814</v>
          </cell>
          <cell r="D8">
            <v>45136</v>
          </cell>
          <cell r="E8" t="str">
            <v>CAJERO (A)</v>
          </cell>
          <cell r="F8" t="str">
            <v xml:space="preserve">FARMACIA LOS YANEZ DE OSPINO, C.A </v>
          </cell>
          <cell r="G8" t="str">
            <v>RIF  J-500253052</v>
          </cell>
          <cell r="H8" t="str">
            <v>Carrera 3 esquina calle 10, Barrio curazao</v>
          </cell>
          <cell r="I8" t="str">
            <v>BANCO VENEZUELA</v>
          </cell>
          <cell r="J8" t="str">
            <v>0102-0741-0800-0039-1379</v>
          </cell>
          <cell r="K8" t="str">
            <v>CORRIENTE</v>
          </cell>
          <cell r="L8">
            <v>16065</v>
          </cell>
          <cell r="M8">
            <v>1400</v>
          </cell>
          <cell r="N8">
            <v>200</v>
          </cell>
          <cell r="O8">
            <v>26.666666666666668</v>
          </cell>
          <cell r="P8">
            <v>66.66</v>
          </cell>
          <cell r="Q8">
            <v>4</v>
          </cell>
          <cell r="R8">
            <v>800</v>
          </cell>
          <cell r="S8">
            <v>2</v>
          </cell>
          <cell r="T8">
            <v>427.2</v>
          </cell>
          <cell r="U8">
            <v>0</v>
          </cell>
          <cell r="V8">
            <v>0</v>
          </cell>
          <cell r="W8">
            <v>1</v>
          </cell>
          <cell r="X8">
            <v>200</v>
          </cell>
          <cell r="Y8">
            <v>0</v>
          </cell>
          <cell r="Z8">
            <v>0</v>
          </cell>
          <cell r="AB8">
            <v>0</v>
          </cell>
          <cell r="AC8">
            <v>0</v>
          </cell>
          <cell r="AD8">
            <v>8.5</v>
          </cell>
          <cell r="AE8">
            <v>68</v>
          </cell>
          <cell r="AF8">
            <v>0</v>
          </cell>
          <cell r="AG8">
            <v>0</v>
          </cell>
          <cell r="AH8">
            <v>1495.2</v>
          </cell>
          <cell r="AI8">
            <v>1</v>
          </cell>
          <cell r="AJ8">
            <v>6</v>
          </cell>
          <cell r="AK8">
            <v>0.75</v>
          </cell>
          <cell r="AM8">
            <v>14.952</v>
          </cell>
          <cell r="AN8">
            <v>0</v>
          </cell>
          <cell r="AO8">
            <v>0</v>
          </cell>
          <cell r="AP8">
            <v>1</v>
          </cell>
          <cell r="AQ8">
            <v>200</v>
          </cell>
          <cell r="AS8">
            <v>221.702</v>
          </cell>
          <cell r="AT8">
            <v>1273.498</v>
          </cell>
          <cell r="AV8" t="str">
            <v>FALTA INJUSTIFICADA 08/12/25 Y REPOSO 11/12/25</v>
          </cell>
          <cell r="AW8" t="str">
            <v xml:space="preserve">FARMACIA LOS YANEZ DE OSPINO, C.A </v>
          </cell>
        </row>
        <row r="9">
          <cell r="B9" t="str">
            <v>MATERAN CUMANA SKARLETH</v>
          </cell>
          <cell r="C9">
            <v>31272373</v>
          </cell>
          <cell r="D9">
            <v>44998</v>
          </cell>
          <cell r="E9" t="str">
            <v>AUX. DE ALMACEN</v>
          </cell>
          <cell r="F9" t="str">
            <v xml:space="preserve">FARMACIA LOS YANEZ DE OSPINO, C.A </v>
          </cell>
          <cell r="G9" t="str">
            <v>RIF  J-500253052</v>
          </cell>
          <cell r="H9" t="str">
            <v>Carrera 3 esquina calle 10, Barrio curazao</v>
          </cell>
          <cell r="I9" t="str">
            <v>BANCO VENEZUELA</v>
          </cell>
          <cell r="J9" t="str">
            <v>0102-0346-5900-0142-7271</v>
          </cell>
          <cell r="K9" t="str">
            <v>CORRIENTE</v>
          </cell>
          <cell r="L9">
            <v>13387.5</v>
          </cell>
          <cell r="M9">
            <v>1400</v>
          </cell>
          <cell r="N9">
            <v>200</v>
          </cell>
          <cell r="O9">
            <v>25</v>
          </cell>
          <cell r="P9">
            <v>66.66</v>
          </cell>
          <cell r="Q9">
            <v>5</v>
          </cell>
          <cell r="R9">
            <v>1000</v>
          </cell>
          <cell r="S9">
            <v>2</v>
          </cell>
          <cell r="T9">
            <v>400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1400</v>
          </cell>
          <cell r="AI9">
            <v>1</v>
          </cell>
          <cell r="AJ9">
            <v>6</v>
          </cell>
          <cell r="AK9">
            <v>0.75</v>
          </cell>
          <cell r="AM9">
            <v>14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S9">
            <v>20.75</v>
          </cell>
          <cell r="AT9">
            <v>1379.25</v>
          </cell>
          <cell r="AW9" t="str">
            <v xml:space="preserve">FARMACIA LOS YANEZ DE OSPINO, C.A </v>
          </cell>
        </row>
        <row r="10">
          <cell r="B10" t="str">
            <v>YUSMARY MARQUEZ OCANTO</v>
          </cell>
          <cell r="C10">
            <v>19031701</v>
          </cell>
          <cell r="D10">
            <v>45474</v>
          </cell>
          <cell r="E10" t="str">
            <v>AUX. DE ALMACEN</v>
          </cell>
          <cell r="F10" t="str">
            <v xml:space="preserve">FARMACIA LOS YANEZ DE OSPINO, C.A </v>
          </cell>
          <cell r="G10" t="str">
            <v>RIF  J-500253052</v>
          </cell>
          <cell r="H10" t="str">
            <v>Carrera 3 esquina calle 10, Barrio curazao</v>
          </cell>
          <cell r="I10" t="str">
            <v>BANCO VENEZUELA</v>
          </cell>
          <cell r="J10" t="str">
            <v>0102-0346-54-0001448357</v>
          </cell>
          <cell r="K10" t="str">
            <v>CORRIENTE</v>
          </cell>
          <cell r="L10">
            <v>13387.5</v>
          </cell>
          <cell r="M10">
            <v>1400</v>
          </cell>
          <cell r="N10">
            <v>200</v>
          </cell>
          <cell r="O10">
            <v>25</v>
          </cell>
          <cell r="P10">
            <v>66.66</v>
          </cell>
          <cell r="Q10">
            <v>5</v>
          </cell>
          <cell r="R10">
            <v>1000</v>
          </cell>
          <cell r="S10">
            <v>2</v>
          </cell>
          <cell r="T10">
            <v>400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1400</v>
          </cell>
          <cell r="AI10">
            <v>1</v>
          </cell>
          <cell r="AJ10">
            <v>6</v>
          </cell>
          <cell r="AK10">
            <v>0.75</v>
          </cell>
          <cell r="AM10">
            <v>14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S10">
            <v>20.75</v>
          </cell>
          <cell r="AT10">
            <v>1379.25</v>
          </cell>
          <cell r="AW10" t="str">
            <v xml:space="preserve">FARMACIA LOS YANEZ DE OSPINO, C.A </v>
          </cell>
        </row>
        <row r="11">
          <cell r="B11" t="str">
            <v>VALLADARES MEDINA EMILIO JOSE</v>
          </cell>
          <cell r="C11">
            <v>12647713</v>
          </cell>
          <cell r="D11">
            <v>45079</v>
          </cell>
          <cell r="E11" t="str">
            <v>SUPERVISOR DE VENTAS</v>
          </cell>
          <cell r="F11" t="str">
            <v xml:space="preserve">FARMACIA LOS YANEZ DE OSPINO, C.A </v>
          </cell>
          <cell r="G11" t="str">
            <v>RIF  J-500253052</v>
          </cell>
          <cell r="H11" t="str">
            <v>Carrera 3 esquina calle 10, Barrio curazao</v>
          </cell>
          <cell r="I11" t="str">
            <v>BANCO PROVINCIAL</v>
          </cell>
          <cell r="J11" t="str">
            <v>0108-2422-26-0100104904</v>
          </cell>
          <cell r="K11" t="str">
            <v>CORRIENTE</v>
          </cell>
          <cell r="L11">
            <v>18742.5</v>
          </cell>
          <cell r="M11">
            <v>2000</v>
          </cell>
          <cell r="N11">
            <v>285.71428571428572</v>
          </cell>
          <cell r="O11">
            <v>35.714285714285715</v>
          </cell>
          <cell r="P11">
            <v>95.228571428571428</v>
          </cell>
          <cell r="Q11">
            <v>5</v>
          </cell>
          <cell r="R11">
            <v>1428.5714285714287</v>
          </cell>
          <cell r="S11">
            <v>2</v>
          </cell>
          <cell r="T11">
            <v>571.42857142857144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2000</v>
          </cell>
          <cell r="AI11">
            <v>1</v>
          </cell>
          <cell r="AJ11">
            <v>6</v>
          </cell>
          <cell r="AK11">
            <v>0.75</v>
          </cell>
          <cell r="AM11">
            <v>20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S11">
            <v>26.75</v>
          </cell>
          <cell r="AT11">
            <v>1973.25</v>
          </cell>
          <cell r="AW11" t="str">
            <v xml:space="preserve">FARMACIA LOS YANEZ DE OSPINO, C.A </v>
          </cell>
        </row>
        <row r="12">
          <cell r="B12" t="str">
            <v>NORALYS AZUAJE CONTRERAS</v>
          </cell>
          <cell r="C12">
            <v>13329198</v>
          </cell>
          <cell r="D12">
            <v>45378</v>
          </cell>
          <cell r="E12" t="str">
            <v>CAJERO (A)</v>
          </cell>
          <cell r="F12" t="str">
            <v xml:space="preserve">FARMACIA LOS YANEZ DE OSPINO, C.A </v>
          </cell>
          <cell r="G12" t="str">
            <v>RIF  J-500253052</v>
          </cell>
          <cell r="H12" t="str">
            <v>Carrera 3 esquina calle 10, Barrio curazao</v>
          </cell>
          <cell r="I12" t="str">
            <v>BANCO BANESCO</v>
          </cell>
          <cell r="J12" t="str">
            <v>0134-0946-36-0001095169</v>
          </cell>
          <cell r="K12" t="str">
            <v>CORRIENTE</v>
          </cell>
          <cell r="L12">
            <v>16065</v>
          </cell>
          <cell r="M12">
            <v>1400</v>
          </cell>
          <cell r="N12">
            <v>200</v>
          </cell>
          <cell r="O12">
            <v>26.666666666666668</v>
          </cell>
          <cell r="P12">
            <v>66.66</v>
          </cell>
          <cell r="Q12">
            <v>5</v>
          </cell>
          <cell r="R12">
            <v>1000</v>
          </cell>
          <cell r="S12">
            <v>2</v>
          </cell>
          <cell r="T12">
            <v>534.4</v>
          </cell>
          <cell r="U12">
            <v>1</v>
          </cell>
          <cell r="V12">
            <v>300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B12">
            <v>0</v>
          </cell>
          <cell r="AC12">
            <v>0</v>
          </cell>
          <cell r="AD12">
            <v>4.5</v>
          </cell>
          <cell r="AE12">
            <v>36</v>
          </cell>
          <cell r="AF12">
            <v>0</v>
          </cell>
          <cell r="AG12">
            <v>0</v>
          </cell>
          <cell r="AH12">
            <v>1870.4</v>
          </cell>
          <cell r="AI12">
            <v>1</v>
          </cell>
          <cell r="AJ12">
            <v>6</v>
          </cell>
          <cell r="AK12">
            <v>0.75</v>
          </cell>
          <cell r="AM12">
            <v>18.704000000000001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S12">
            <v>25.454000000000001</v>
          </cell>
          <cell r="AT12">
            <v>1844.9460000000001</v>
          </cell>
          <cell r="AV12" t="str">
            <v>DOMINGO 07/12/25</v>
          </cell>
          <cell r="AW12" t="str">
            <v xml:space="preserve">FARMACIA LOS YANEZ DE OSPINO, C.A </v>
          </cell>
        </row>
        <row r="13">
          <cell r="B13" t="str">
            <v>GARCIAS BASTIDAS BIANCA ROSSELA</v>
          </cell>
          <cell r="C13">
            <v>27938750</v>
          </cell>
          <cell r="D13">
            <v>45474</v>
          </cell>
          <cell r="E13" t="str">
            <v>CAJERO (A)</v>
          </cell>
          <cell r="F13" t="str">
            <v xml:space="preserve">FARMACIA LOS YANEZ DE OSPINO, C.A </v>
          </cell>
          <cell r="G13" t="str">
            <v>RIF  J-500253052</v>
          </cell>
          <cell r="H13" t="str">
            <v>Carrera 3 esquina calle 10, Barrio curazao</v>
          </cell>
          <cell r="I13" t="str">
            <v>BANCO VENEZUELA</v>
          </cell>
          <cell r="J13" t="str">
            <v>0102-0346-58-0106623807</v>
          </cell>
          <cell r="K13" t="str">
            <v>AHORRO</v>
          </cell>
          <cell r="L13">
            <v>16065</v>
          </cell>
          <cell r="M13">
            <v>1400</v>
          </cell>
          <cell r="N13">
            <v>200</v>
          </cell>
          <cell r="O13">
            <v>26.666666666666668</v>
          </cell>
          <cell r="P13">
            <v>66.66</v>
          </cell>
          <cell r="Q13">
            <v>5</v>
          </cell>
          <cell r="R13">
            <v>1000</v>
          </cell>
          <cell r="S13">
            <v>2</v>
          </cell>
          <cell r="T13">
            <v>408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B13">
            <v>0</v>
          </cell>
          <cell r="AC13">
            <v>0</v>
          </cell>
          <cell r="AD13">
            <v>2.5</v>
          </cell>
          <cell r="AE13">
            <v>20</v>
          </cell>
          <cell r="AF13">
            <v>0</v>
          </cell>
          <cell r="AG13">
            <v>0</v>
          </cell>
          <cell r="AH13">
            <v>1428</v>
          </cell>
          <cell r="AI13">
            <v>1</v>
          </cell>
          <cell r="AJ13">
            <v>6</v>
          </cell>
          <cell r="AK13">
            <v>0.75</v>
          </cell>
          <cell r="AM13">
            <v>14.280000000000001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S13">
            <v>21.03</v>
          </cell>
          <cell r="AT13">
            <v>1406.97</v>
          </cell>
          <cell r="AW13" t="str">
            <v xml:space="preserve">FARMACIA LOS YANEZ DE OSPINO, C.A </v>
          </cell>
        </row>
        <row r="14">
          <cell r="B14" t="str">
            <v>HANIREE UGARTE</v>
          </cell>
          <cell r="C14">
            <v>25016178</v>
          </cell>
          <cell r="D14">
            <v>45691</v>
          </cell>
          <cell r="E14" t="str">
            <v>CAJERO (A)</v>
          </cell>
          <cell r="F14" t="str">
            <v xml:space="preserve">FARMACIA LOS YANEZ DE OSPINO, C.A </v>
          </cell>
          <cell r="G14" t="str">
            <v>RIF  J-500253052</v>
          </cell>
          <cell r="H14" t="str">
            <v>Carrera 3 esquina calle 10, Barrio curazao</v>
          </cell>
          <cell r="I14" t="str">
            <v>BANCO BANCAMIGA</v>
          </cell>
          <cell r="J14" t="str">
            <v>0172-0250-2325-0804-9679</v>
          </cell>
          <cell r="K14" t="str">
            <v>CORRIENTE</v>
          </cell>
          <cell r="L14">
            <v>16065</v>
          </cell>
          <cell r="M14">
            <v>1400</v>
          </cell>
          <cell r="N14">
            <v>200</v>
          </cell>
          <cell r="O14">
            <v>26.666666666666668</v>
          </cell>
          <cell r="P14">
            <v>66.66</v>
          </cell>
          <cell r="Q14">
            <v>5</v>
          </cell>
          <cell r="R14">
            <v>1000</v>
          </cell>
          <cell r="S14">
            <v>2</v>
          </cell>
          <cell r="T14">
            <v>420.8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B14">
            <v>0</v>
          </cell>
          <cell r="AC14">
            <v>0</v>
          </cell>
          <cell r="AD14">
            <v>6.5</v>
          </cell>
          <cell r="AE14">
            <v>52</v>
          </cell>
          <cell r="AF14">
            <v>0</v>
          </cell>
          <cell r="AG14">
            <v>0</v>
          </cell>
          <cell r="AH14">
            <v>1472.8</v>
          </cell>
          <cell r="AI14">
            <v>1</v>
          </cell>
          <cell r="AJ14">
            <v>6</v>
          </cell>
          <cell r="AK14">
            <v>0.75</v>
          </cell>
          <cell r="AM14">
            <v>14.728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S14">
            <v>21.478000000000002</v>
          </cell>
          <cell r="AT14">
            <v>1451.3219999999999</v>
          </cell>
          <cell r="AW14" t="str">
            <v xml:space="preserve">FARMACIA LOS YANEZ DE OSPINO, C.A </v>
          </cell>
        </row>
        <row r="15">
          <cell r="B15" t="str">
            <v>PEREZ GORDILLO JEFERSSON ALEXANDER</v>
          </cell>
          <cell r="C15">
            <v>28427378</v>
          </cell>
          <cell r="D15">
            <v>45708</v>
          </cell>
          <cell r="E15" t="str">
            <v xml:space="preserve">SUPERVISOR DE ALMACEN </v>
          </cell>
          <cell r="F15" t="str">
            <v xml:space="preserve">FARMACIA LOS YANEZ DE OSPINO, C.A </v>
          </cell>
          <cell r="G15" t="str">
            <v>RIF  J-500253052</v>
          </cell>
          <cell r="H15" t="str">
            <v>Carrera 3 esquina calle 10, Barrio curazao</v>
          </cell>
          <cell r="I15" t="str">
            <v>BANCO VENEZUELA</v>
          </cell>
          <cell r="J15" t="str">
            <v>0102-0741-0200-0059-4888</v>
          </cell>
          <cell r="K15" t="str">
            <v>CORRIENTE</v>
          </cell>
          <cell r="L15">
            <v>18742.5</v>
          </cell>
          <cell r="M15">
            <v>2000</v>
          </cell>
          <cell r="N15">
            <v>285.71428571428572</v>
          </cell>
          <cell r="O15">
            <v>35.714285714285715</v>
          </cell>
          <cell r="P15">
            <v>95.228571428571428</v>
          </cell>
          <cell r="Q15">
            <v>5</v>
          </cell>
          <cell r="R15">
            <v>1428.5714285714287</v>
          </cell>
          <cell r="S15">
            <v>2</v>
          </cell>
          <cell r="T15">
            <v>571.42857142857144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2000</v>
          </cell>
          <cell r="AI15">
            <v>1</v>
          </cell>
          <cell r="AJ15">
            <v>6</v>
          </cell>
          <cell r="AK15">
            <v>0.75</v>
          </cell>
          <cell r="AM15">
            <v>20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S15">
            <v>26.75</v>
          </cell>
          <cell r="AT15">
            <v>1973.25</v>
          </cell>
          <cell r="AW15" t="str">
            <v xml:space="preserve">FARMACIA LOS YANEZ DE OSPINO, C.A </v>
          </cell>
        </row>
        <row r="16">
          <cell r="B16" t="str">
            <v>LEONARDO ENRRIQUE YANEZ FERRER</v>
          </cell>
          <cell r="C16">
            <v>29632132</v>
          </cell>
          <cell r="D16">
            <v>45712</v>
          </cell>
          <cell r="E16" t="str">
            <v>CAJERO (A)</v>
          </cell>
          <cell r="F16" t="str">
            <v xml:space="preserve">FARMACIA LOS YANEZ DE OSPINO, C.A </v>
          </cell>
          <cell r="G16" t="str">
            <v>RIF  J-500253052</v>
          </cell>
          <cell r="H16" t="str">
            <v>Carrera 3 esquina calle 10, Barrio curazao</v>
          </cell>
          <cell r="I16" t="str">
            <v>BANCO PROVINCIAL</v>
          </cell>
          <cell r="J16" t="str">
            <v>0108-0064-18-0100331070</v>
          </cell>
          <cell r="K16" t="str">
            <v>CORRIENTE</v>
          </cell>
          <cell r="L16">
            <v>18742.5</v>
          </cell>
          <cell r="M16">
            <v>1400</v>
          </cell>
          <cell r="N16">
            <v>200</v>
          </cell>
          <cell r="O16">
            <v>25</v>
          </cell>
          <cell r="P16">
            <v>66.66</v>
          </cell>
          <cell r="Q16">
            <v>5</v>
          </cell>
          <cell r="R16">
            <v>1000</v>
          </cell>
          <cell r="S16">
            <v>2</v>
          </cell>
          <cell r="T16">
            <v>400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1400</v>
          </cell>
          <cell r="AI16">
            <v>1</v>
          </cell>
          <cell r="AJ16">
            <v>6</v>
          </cell>
          <cell r="AK16">
            <v>0.75</v>
          </cell>
          <cell r="AM16">
            <v>14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S16">
            <v>20.75</v>
          </cell>
          <cell r="AT16">
            <v>1379.25</v>
          </cell>
          <cell r="AW16" t="str">
            <v xml:space="preserve">FARMACIA LOS YANEZ DE OSPINO, C.A </v>
          </cell>
        </row>
        <row r="17">
          <cell r="B17" t="str">
            <v>MOISES SEBASTIAN YANEZ FERRER</v>
          </cell>
          <cell r="C17">
            <v>26940897</v>
          </cell>
          <cell r="D17">
            <v>45712</v>
          </cell>
          <cell r="E17" t="str">
            <v>GERENTE</v>
          </cell>
          <cell r="F17" t="str">
            <v xml:space="preserve">FARMACIA LOS YANEZ DE OSPINO, C.A </v>
          </cell>
          <cell r="G17" t="str">
            <v>RIF  J-500253052</v>
          </cell>
          <cell r="H17" t="str">
            <v>Carrera 3 esquina calle 10, Barrio curazao</v>
          </cell>
          <cell r="I17" t="str">
            <v>BANCO PROVINCIAL</v>
          </cell>
          <cell r="J17" t="str">
            <v>0108-0064-1401-0032-9645</v>
          </cell>
          <cell r="K17" t="str">
            <v>CORRIENTE</v>
          </cell>
          <cell r="L17">
            <v>29452.5</v>
          </cell>
          <cell r="M17">
            <v>2500</v>
          </cell>
          <cell r="N17">
            <v>357.14285714285717</v>
          </cell>
          <cell r="O17">
            <v>47.61904761904762</v>
          </cell>
          <cell r="P17">
            <v>119.03571428571429</v>
          </cell>
          <cell r="Q17">
            <v>5</v>
          </cell>
          <cell r="R17">
            <v>1785.7142857142858</v>
          </cell>
          <cell r="S17">
            <v>2</v>
          </cell>
          <cell r="T17">
            <v>714.28571428571433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2500</v>
          </cell>
          <cell r="AI17">
            <v>1</v>
          </cell>
          <cell r="AJ17">
            <v>6</v>
          </cell>
          <cell r="AK17">
            <v>0.75</v>
          </cell>
          <cell r="AM17">
            <v>25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S17">
            <v>31.75</v>
          </cell>
          <cell r="AT17">
            <v>2468.25</v>
          </cell>
          <cell r="AW17" t="str">
            <v xml:space="preserve">FARMACIA LOS YANEZ DE OSPINO, C.A </v>
          </cell>
        </row>
        <row r="18">
          <cell r="B18" t="str">
            <v>JOSE ADEMIR ALDANA AZUAJE</v>
          </cell>
          <cell r="C18">
            <v>18251792</v>
          </cell>
          <cell r="D18">
            <v>45323</v>
          </cell>
          <cell r="E18" t="str">
            <v>FARMACEUTICO</v>
          </cell>
          <cell r="F18" t="str">
            <v xml:space="preserve">FARMACIA LOS YANEZ DE OSPINO, C.A </v>
          </cell>
          <cell r="G18" t="str">
            <v>RIF  J-500253052</v>
          </cell>
          <cell r="H18" t="str">
            <v>Carrera 3 esquina calle 10, Barrio curazao</v>
          </cell>
          <cell r="I18" t="str">
            <v>BANCO PROVINCIAL</v>
          </cell>
          <cell r="J18" t="str">
            <v>0108-0111-7001-0005-2133</v>
          </cell>
          <cell r="K18" t="str">
            <v>CORRIENTE</v>
          </cell>
          <cell r="L18">
            <v>0</v>
          </cell>
          <cell r="M18">
            <v>33468.75</v>
          </cell>
          <cell r="N18">
            <v>4781.25</v>
          </cell>
          <cell r="O18">
            <v>597.65625</v>
          </cell>
          <cell r="P18">
            <v>1593.5906249999998</v>
          </cell>
          <cell r="Q18">
            <v>5</v>
          </cell>
          <cell r="R18">
            <v>23906.25</v>
          </cell>
          <cell r="S18">
            <v>2</v>
          </cell>
          <cell r="T18">
            <v>9562.5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33468.75</v>
          </cell>
          <cell r="AI18">
            <v>1</v>
          </cell>
          <cell r="AJ18">
            <v>6</v>
          </cell>
          <cell r="AK18">
            <v>0.75</v>
          </cell>
          <cell r="AM18">
            <v>334.6875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S18">
            <v>341.4375</v>
          </cell>
          <cell r="AT18">
            <v>33127.3125</v>
          </cell>
          <cell r="AW18" t="str">
            <v xml:space="preserve">FARMACIA LOS YANEZ DE OSPINO, C.A </v>
          </cell>
        </row>
        <row r="19">
          <cell r="B19" t="str">
            <v>YENNIFER ALEXANDRA ESPINOZA BOLIVAR</v>
          </cell>
          <cell r="C19">
            <v>30240358</v>
          </cell>
          <cell r="D19">
            <v>45999</v>
          </cell>
          <cell r="E19" t="str">
            <v>PROMOTOR DE VENTA</v>
          </cell>
          <cell r="F19" t="str">
            <v xml:space="preserve">FARMACIA LOS YANEZ DE OSPINO, C.A </v>
          </cell>
          <cell r="G19" t="str">
            <v>RIF  J-500253052</v>
          </cell>
          <cell r="H19" t="str">
            <v>Carrera 3 esquina calle 10, Barrio curazao</v>
          </cell>
          <cell r="I19" t="str">
            <v>BANCO VENEZUELA</v>
          </cell>
          <cell r="J19" t="str">
            <v>0102-0741-0700-0028-4017</v>
          </cell>
          <cell r="K19" t="str">
            <v>CORRIENTE</v>
          </cell>
          <cell r="L19">
            <v>10710</v>
          </cell>
          <cell r="M19">
            <v>1400</v>
          </cell>
          <cell r="N19">
            <v>200</v>
          </cell>
          <cell r="O19">
            <v>25</v>
          </cell>
          <cell r="P19">
            <v>66.66</v>
          </cell>
          <cell r="Q19">
            <v>5</v>
          </cell>
          <cell r="R19">
            <v>1000</v>
          </cell>
          <cell r="S19">
            <v>2</v>
          </cell>
          <cell r="T19">
            <v>400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1400</v>
          </cell>
          <cell r="AI19">
            <v>1</v>
          </cell>
          <cell r="AJ19">
            <v>6</v>
          </cell>
          <cell r="AK19">
            <v>0.75</v>
          </cell>
          <cell r="AM19">
            <v>14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S19">
            <v>20.75</v>
          </cell>
          <cell r="AT19">
            <v>1379.25</v>
          </cell>
          <cell r="AW19" t="str">
            <v xml:space="preserve">FARMACIA LOS YANEZ DE OSPINO, C.A </v>
          </cell>
        </row>
        <row r="20">
          <cell r="B20" t="str">
            <v>GERMANDA DANIELA VEGAS MATOS</v>
          </cell>
          <cell r="C20">
            <v>21561594</v>
          </cell>
          <cell r="D20">
            <v>45999</v>
          </cell>
          <cell r="E20" t="str">
            <v>CAJERO (A)</v>
          </cell>
          <cell r="F20" t="str">
            <v xml:space="preserve">FARMACIA LOS YANEZ DE OSPINO, C.A </v>
          </cell>
          <cell r="G20" t="str">
            <v>RIF  J-500253052</v>
          </cell>
          <cell r="H20" t="str">
            <v>Carrera 3 esquina calle 10, Barrio curazao</v>
          </cell>
          <cell r="L20">
            <v>13387.5</v>
          </cell>
          <cell r="M20">
            <v>1400</v>
          </cell>
          <cell r="N20">
            <v>200</v>
          </cell>
          <cell r="O20">
            <v>25</v>
          </cell>
          <cell r="P20">
            <v>66.66</v>
          </cell>
          <cell r="Q20">
            <v>5</v>
          </cell>
          <cell r="R20">
            <v>1000</v>
          </cell>
          <cell r="S20">
            <v>2</v>
          </cell>
          <cell r="T20">
            <v>400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1400</v>
          </cell>
          <cell r="AI20">
            <v>1</v>
          </cell>
          <cell r="AJ20">
            <v>6</v>
          </cell>
          <cell r="AK20">
            <v>0.75</v>
          </cell>
          <cell r="AM20">
            <v>14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S20">
            <v>20.75</v>
          </cell>
          <cell r="AT20">
            <v>1379.25</v>
          </cell>
          <cell r="AW20" t="str">
            <v xml:space="preserve">FARMACIA LOS YANEZ DE OSPINO, C.A </v>
          </cell>
        </row>
        <row r="21">
          <cell r="B21" t="str">
            <v>MARIA MILAGROS YANEZ PUERTA</v>
          </cell>
          <cell r="C21">
            <v>15237079</v>
          </cell>
          <cell r="D21">
            <v>45601</v>
          </cell>
          <cell r="E21" t="str">
            <v>DIRECTIVO</v>
          </cell>
          <cell r="F21" t="str">
            <v>FARMACIA FARMANOSTRA GUANARE, C.A.</v>
          </cell>
          <cell r="G21" t="str">
            <v>RIF-  J501049831</v>
          </cell>
          <cell r="H21" t="str">
            <v>Av.  principal local nro 1 barrio el cambio -  Guanare Portuguesa</v>
          </cell>
          <cell r="I21" t="str">
            <v>BANCO NACIONAL DE CREDITO</v>
          </cell>
          <cell r="J21" t="str">
            <v>0191-0165-7111-0001-1672</v>
          </cell>
          <cell r="K21" t="str">
            <v>AHORRO</v>
          </cell>
          <cell r="L21">
            <v>13387.5</v>
          </cell>
          <cell r="M21">
            <v>1400</v>
          </cell>
          <cell r="N21">
            <v>200</v>
          </cell>
          <cell r="O21">
            <v>25</v>
          </cell>
          <cell r="P21">
            <v>66.66</v>
          </cell>
          <cell r="Q21">
            <v>5</v>
          </cell>
          <cell r="R21">
            <v>1000</v>
          </cell>
          <cell r="S21">
            <v>2</v>
          </cell>
          <cell r="T21">
            <v>400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1400</v>
          </cell>
          <cell r="AI21">
            <v>1</v>
          </cell>
          <cell r="AJ21">
            <v>6</v>
          </cell>
          <cell r="AK21">
            <v>0.75</v>
          </cell>
          <cell r="AM21">
            <v>14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S21">
            <v>20.75</v>
          </cell>
          <cell r="AT21">
            <v>1379.25</v>
          </cell>
          <cell r="AW21" t="str">
            <v>FARMACIA FARMANOSTRA GUANARE, C.A.</v>
          </cell>
        </row>
        <row r="22">
          <cell r="B22" t="str">
            <v xml:space="preserve">CARLA GARCIA </v>
          </cell>
          <cell r="C22">
            <v>24616618</v>
          </cell>
          <cell r="D22">
            <v>45441</v>
          </cell>
          <cell r="E22" t="str">
            <v>CAJERO (A)</v>
          </cell>
          <cell r="F22" t="str">
            <v>FARMACIA FARMANOSTRA GUANARE, C.A.</v>
          </cell>
          <cell r="G22" t="str">
            <v>RIF-  J501049831</v>
          </cell>
          <cell r="H22" t="str">
            <v>Av.  principal local nro 1 barrio el cambio -  Guanare Portuguesa</v>
          </cell>
          <cell r="I22" t="str">
            <v>BANCO BANESCO</v>
          </cell>
          <cell r="J22" t="str">
            <v>0134-0946-3100-0145-1429</v>
          </cell>
          <cell r="K22" t="str">
            <v>CORRIENTE</v>
          </cell>
          <cell r="L22">
            <v>16065</v>
          </cell>
          <cell r="M22">
            <v>1400</v>
          </cell>
          <cell r="N22">
            <v>200</v>
          </cell>
          <cell r="O22">
            <v>26.666666666666668</v>
          </cell>
          <cell r="P22">
            <v>66.66</v>
          </cell>
          <cell r="Q22">
            <v>5</v>
          </cell>
          <cell r="R22">
            <v>1000</v>
          </cell>
          <cell r="S22">
            <v>2</v>
          </cell>
          <cell r="T22">
            <v>419.2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B22">
            <v>0</v>
          </cell>
          <cell r="AC22">
            <v>0</v>
          </cell>
          <cell r="AD22">
            <v>6</v>
          </cell>
          <cell r="AE22">
            <v>48</v>
          </cell>
          <cell r="AF22">
            <v>0</v>
          </cell>
          <cell r="AG22">
            <v>0</v>
          </cell>
          <cell r="AH22">
            <v>1467.2</v>
          </cell>
          <cell r="AI22">
            <v>1</v>
          </cell>
          <cell r="AJ22">
            <v>6</v>
          </cell>
          <cell r="AK22">
            <v>0.75</v>
          </cell>
          <cell r="AM22">
            <v>14.672000000000001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S22">
            <v>21.422000000000001</v>
          </cell>
          <cell r="AT22">
            <v>1445.778</v>
          </cell>
          <cell r="AW22" t="str">
            <v>FARMACIA FARMANOSTRA GUANARE, C.A.</v>
          </cell>
        </row>
        <row r="23">
          <cell r="B23" t="str">
            <v xml:space="preserve">SOTO NIETO ARGENIS </v>
          </cell>
          <cell r="C23">
            <v>15886645</v>
          </cell>
          <cell r="D23">
            <v>45659</v>
          </cell>
          <cell r="E23" t="str">
            <v>GERENTE</v>
          </cell>
          <cell r="F23" t="str">
            <v>FARMACIA FARMANOSTRA GUANARE, C.A.</v>
          </cell>
          <cell r="G23" t="str">
            <v>RIF-  J501049831</v>
          </cell>
          <cell r="H23" t="str">
            <v>Av.  principal local nro 1 barrio el cambio -  Guanare Portuguesa</v>
          </cell>
          <cell r="I23" t="str">
            <v>BANCO PROVINCIAL</v>
          </cell>
          <cell r="J23" t="str">
            <v>0108-0908-8101-0011-2678</v>
          </cell>
          <cell r="K23" t="str">
            <v>CORRIENTE</v>
          </cell>
          <cell r="L23">
            <v>29452.5</v>
          </cell>
          <cell r="M23">
            <v>2500</v>
          </cell>
          <cell r="N23">
            <v>357.14285714285717</v>
          </cell>
          <cell r="O23">
            <v>47.61904761904762</v>
          </cell>
          <cell r="P23">
            <v>119.03571428571429</v>
          </cell>
          <cell r="Q23">
            <v>5</v>
          </cell>
          <cell r="R23">
            <v>1785.7142857142858</v>
          </cell>
          <cell r="S23">
            <v>2</v>
          </cell>
          <cell r="T23">
            <v>928.57142857142867</v>
          </cell>
          <cell r="U23">
            <v>1</v>
          </cell>
          <cell r="V23">
            <v>535.71428571428578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3250.0000000000005</v>
          </cell>
          <cell r="AI23">
            <v>1</v>
          </cell>
          <cell r="AJ23">
            <v>6</v>
          </cell>
          <cell r="AK23">
            <v>0.75</v>
          </cell>
          <cell r="AM23">
            <v>32.500000000000007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S23">
            <v>39.250000000000007</v>
          </cell>
          <cell r="AT23">
            <v>3210.7500000000005</v>
          </cell>
          <cell r="AV23" t="str">
            <v>DOMINGO 07/12/2025</v>
          </cell>
          <cell r="AW23" t="str">
            <v>FARMACIA FARMANOSTRA GUANARE, C.A.</v>
          </cell>
        </row>
        <row r="24">
          <cell r="B24" t="str">
            <v>BRANDO DE JESUS OROPEZA RUIS</v>
          </cell>
          <cell r="C24">
            <v>31202590</v>
          </cell>
          <cell r="D24">
            <v>45788</v>
          </cell>
          <cell r="E24" t="str">
            <v>CAJERO (A)</v>
          </cell>
          <cell r="F24" t="str">
            <v>FARMACIA FARMANOSTRA GUANARE, C.A.</v>
          </cell>
          <cell r="G24" t="str">
            <v>RIF-  J501049831</v>
          </cell>
          <cell r="H24" t="str">
            <v>Av.  principal local nro 1 barrio el cambio -  Guanare Portuguesa</v>
          </cell>
          <cell r="I24" t="str">
            <v>BANCO VENEZUELA</v>
          </cell>
          <cell r="J24" t="str">
            <v>0102-0346-5900-0142-0689</v>
          </cell>
          <cell r="K24" t="str">
            <v>CORRIENTE</v>
          </cell>
          <cell r="L24">
            <v>16065</v>
          </cell>
          <cell r="M24">
            <v>1400</v>
          </cell>
          <cell r="N24">
            <v>200</v>
          </cell>
          <cell r="O24">
            <v>26.666666666666668</v>
          </cell>
          <cell r="P24">
            <v>66.66</v>
          </cell>
          <cell r="Q24">
            <v>5</v>
          </cell>
          <cell r="R24">
            <v>1000</v>
          </cell>
          <cell r="S24">
            <v>2</v>
          </cell>
          <cell r="T24">
            <v>435.2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B24">
            <v>0</v>
          </cell>
          <cell r="AC24">
            <v>0</v>
          </cell>
          <cell r="AD24">
            <v>11</v>
          </cell>
          <cell r="AE24">
            <v>88.000000000000014</v>
          </cell>
          <cell r="AF24">
            <v>0</v>
          </cell>
          <cell r="AG24">
            <v>0</v>
          </cell>
          <cell r="AH24">
            <v>1523.2</v>
          </cell>
          <cell r="AI24">
            <v>1</v>
          </cell>
          <cell r="AJ24">
            <v>6</v>
          </cell>
          <cell r="AK24">
            <v>0.75</v>
          </cell>
          <cell r="AM24">
            <v>15.232000000000001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S24">
            <v>21.981999999999999</v>
          </cell>
          <cell r="AT24">
            <v>1501.2180000000001</v>
          </cell>
          <cell r="AW24" t="str">
            <v>FARMACIA FARMANOSTRA GUANARE, C.A.</v>
          </cell>
        </row>
        <row r="25">
          <cell r="B25" t="str">
            <v>DIGNA SARAI DIAZ PEREZ</v>
          </cell>
          <cell r="C25">
            <v>25162417</v>
          </cell>
          <cell r="D25">
            <v>45846</v>
          </cell>
          <cell r="E25" t="str">
            <v>CAJERO (A)</v>
          </cell>
          <cell r="F25" t="str">
            <v>FARMACIA FARMANOSTRA GUANARE, C.A.</v>
          </cell>
          <cell r="G25" t="str">
            <v>RIF-  J501049831</v>
          </cell>
          <cell r="H25" t="str">
            <v>Av.  principal local nro 1 barrio el cambio -  Guanare Portuguesa</v>
          </cell>
          <cell r="I25" t="str">
            <v>BANCO PROVINCIAL</v>
          </cell>
          <cell r="J25" t="str">
            <v>0108-0066-8901-0042-0619</v>
          </cell>
          <cell r="K25" t="str">
            <v>CORRIENTE</v>
          </cell>
          <cell r="L25">
            <v>16065</v>
          </cell>
          <cell r="M25">
            <v>1400</v>
          </cell>
          <cell r="N25">
            <v>200</v>
          </cell>
          <cell r="O25">
            <v>26.666666666666668</v>
          </cell>
          <cell r="P25">
            <v>66.66</v>
          </cell>
          <cell r="Q25">
            <v>5</v>
          </cell>
          <cell r="R25">
            <v>1000</v>
          </cell>
          <cell r="S25">
            <v>2</v>
          </cell>
          <cell r="T25">
            <v>532.79999999999995</v>
          </cell>
          <cell r="U25">
            <v>1</v>
          </cell>
          <cell r="V25">
            <v>300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B25">
            <v>0</v>
          </cell>
          <cell r="AC25">
            <v>0</v>
          </cell>
          <cell r="AD25">
            <v>4</v>
          </cell>
          <cell r="AE25">
            <v>32</v>
          </cell>
          <cell r="AF25">
            <v>0</v>
          </cell>
          <cell r="AG25">
            <v>0</v>
          </cell>
          <cell r="AH25">
            <v>1864.8</v>
          </cell>
          <cell r="AI25">
            <v>1</v>
          </cell>
          <cell r="AJ25">
            <v>6</v>
          </cell>
          <cell r="AK25">
            <v>0.75</v>
          </cell>
          <cell r="AM25">
            <v>18.648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S25">
            <v>25.398</v>
          </cell>
          <cell r="AT25">
            <v>1839.402</v>
          </cell>
          <cell r="AV25" t="str">
            <v>DOMINGO 07/12/2025</v>
          </cell>
          <cell r="AW25" t="str">
            <v>FARMACIA FARMANOSTRA GUANARE, C.A.</v>
          </cell>
        </row>
        <row r="26">
          <cell r="B26" t="str">
            <v>EMILI MONTOYA</v>
          </cell>
          <cell r="C26">
            <v>20544667</v>
          </cell>
          <cell r="D26">
            <v>45862</v>
          </cell>
          <cell r="E26" t="str">
            <v xml:space="preserve">SUPERVISOR DE ALMACEN </v>
          </cell>
          <cell r="F26" t="str">
            <v>FARMACIA FARMANOSTRA GUANARE, C.A.</v>
          </cell>
          <cell r="G26" t="str">
            <v>RIF-  J501049831</v>
          </cell>
          <cell r="H26" t="str">
            <v>Av.  principal local nro 1 barrio el cambio -  Guanare Portuguesa</v>
          </cell>
          <cell r="I26" t="str">
            <v>BANCO VENEZUELA</v>
          </cell>
          <cell r="J26" t="str">
            <v>01020346510106632231</v>
          </cell>
          <cell r="K26" t="str">
            <v>AHORRO</v>
          </cell>
          <cell r="L26">
            <v>18742.5</v>
          </cell>
          <cell r="M26">
            <v>2000</v>
          </cell>
          <cell r="N26">
            <v>285.71428571428572</v>
          </cell>
          <cell r="O26">
            <v>35.714285714285715</v>
          </cell>
          <cell r="P26">
            <v>95.228571428571428</v>
          </cell>
          <cell r="Q26">
            <v>5</v>
          </cell>
          <cell r="R26">
            <v>1428.5714285714287</v>
          </cell>
          <cell r="S26">
            <v>2</v>
          </cell>
          <cell r="T26">
            <v>571.42857142857144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2000</v>
          </cell>
          <cell r="AI26">
            <v>1</v>
          </cell>
          <cell r="AJ26">
            <v>6</v>
          </cell>
          <cell r="AK26">
            <v>0.75</v>
          </cell>
          <cell r="AM26">
            <v>20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S26">
            <v>26.75</v>
          </cell>
          <cell r="AT26">
            <v>1973.25</v>
          </cell>
          <cell r="AW26" t="str">
            <v>FARMACIA FARMANOSTRA GUANARE, C.A.</v>
          </cell>
        </row>
        <row r="27">
          <cell r="B27" t="str">
            <v>CESAR EDUARDO LADINO PINEDA</v>
          </cell>
          <cell r="C27">
            <v>15445083</v>
          </cell>
          <cell r="D27">
            <v>45909</v>
          </cell>
          <cell r="E27" t="str">
            <v>COORD. ADMINISTRATIVO</v>
          </cell>
          <cell r="F27" t="str">
            <v>FARMACIA FARMANOSTRA GUANARE, C.A.</v>
          </cell>
          <cell r="G27" t="str">
            <v>RIF-  J501049831</v>
          </cell>
          <cell r="H27" t="str">
            <v>Av.  principal local nro 1 barrio el cambio -  Guanare Portuguesa</v>
          </cell>
          <cell r="I27" t="str">
            <v>BANCO VENEZUELA</v>
          </cell>
          <cell r="J27" t="str">
            <v>0102-0165-9800-0093-3481</v>
          </cell>
          <cell r="K27" t="str">
            <v>CORRIENTE</v>
          </cell>
          <cell r="L27">
            <v>24097.5</v>
          </cell>
          <cell r="M27">
            <v>2000</v>
          </cell>
          <cell r="N27">
            <v>285.71428571428572</v>
          </cell>
          <cell r="O27">
            <v>35.714285714285715</v>
          </cell>
          <cell r="P27">
            <v>95.228571428571428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7</v>
          </cell>
          <cell r="Z27">
            <v>666.6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666.6</v>
          </cell>
          <cell r="AI27">
            <v>1</v>
          </cell>
          <cell r="AJ27">
            <v>6</v>
          </cell>
          <cell r="AK27">
            <v>0.75</v>
          </cell>
          <cell r="AM27">
            <v>6.6660000000000004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S27">
            <v>13.416</v>
          </cell>
          <cell r="AT27">
            <v>653.18399999999997</v>
          </cell>
          <cell r="AV27" t="str">
            <v>REPOSO COMUN DEL 03/12 AL 16/12/2025</v>
          </cell>
          <cell r="AW27" t="str">
            <v>FARMACIA FARMANOSTRA GUANARE, C.A.</v>
          </cell>
        </row>
        <row r="28">
          <cell r="B28" t="str">
            <v xml:space="preserve">KEITER BERRIOS TERAN </v>
          </cell>
          <cell r="C28">
            <v>17049673</v>
          </cell>
          <cell r="D28">
            <v>45979</v>
          </cell>
          <cell r="E28" t="str">
            <v>AUX. DE ALMACEN</v>
          </cell>
          <cell r="F28" t="str">
            <v>FARMACIA FARMANOSTRA GUANARE, C.A.</v>
          </cell>
          <cell r="G28" t="str">
            <v>RIF-  J501049831</v>
          </cell>
          <cell r="H28" t="str">
            <v>Av.  principal local nro 1 barrio el cambio -  Guanare Portuguesa</v>
          </cell>
          <cell r="L28">
            <v>10710</v>
          </cell>
          <cell r="M28">
            <v>1400</v>
          </cell>
          <cell r="N28">
            <v>200</v>
          </cell>
          <cell r="O28">
            <v>25</v>
          </cell>
          <cell r="P28">
            <v>66.66</v>
          </cell>
          <cell r="Q28">
            <v>5</v>
          </cell>
          <cell r="R28">
            <v>1000</v>
          </cell>
          <cell r="S28">
            <v>2</v>
          </cell>
          <cell r="T28">
            <v>400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1400</v>
          </cell>
          <cell r="AI28">
            <v>1</v>
          </cell>
          <cell r="AJ28">
            <v>6</v>
          </cell>
          <cell r="AK28">
            <v>0.75</v>
          </cell>
          <cell r="AM28">
            <v>14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S28">
            <v>20.75</v>
          </cell>
          <cell r="AT28">
            <v>1379.25</v>
          </cell>
          <cell r="AW28" t="str">
            <v>FARMACIA FARMANOSTRA GUANARE, C.A.</v>
          </cell>
        </row>
        <row r="29">
          <cell r="B29" t="str">
            <v>UZCATEGUI GIL, OSHMAR SUSJEL</v>
          </cell>
          <cell r="C29">
            <v>31054058</v>
          </cell>
          <cell r="D29">
            <v>45894</v>
          </cell>
          <cell r="E29" t="str">
            <v>CAJERO (A)</v>
          </cell>
          <cell r="F29" t="str">
            <v>FARMACIA FARMANOSTRA GUANARE, C.A.</v>
          </cell>
          <cell r="G29" t="str">
            <v>RIF-  J501049831</v>
          </cell>
          <cell r="H29" t="str">
            <v>Av.  principal local nro 1 barrio el cambio -  Guanare Portuguesa</v>
          </cell>
          <cell r="I29" t="str">
            <v>BANCO MERCANTIL</v>
          </cell>
          <cell r="J29" t="str">
            <v xml:space="preserve">01050059150059496282 </v>
          </cell>
          <cell r="K29" t="str">
            <v>CORRIENTE</v>
          </cell>
          <cell r="L29">
            <v>16065</v>
          </cell>
          <cell r="M29">
            <v>1400</v>
          </cell>
          <cell r="N29">
            <v>200</v>
          </cell>
          <cell r="O29">
            <v>26.666666666666668</v>
          </cell>
          <cell r="P29">
            <v>66.66</v>
          </cell>
          <cell r="Q29">
            <v>5</v>
          </cell>
          <cell r="R29">
            <v>1000</v>
          </cell>
          <cell r="S29">
            <v>2</v>
          </cell>
          <cell r="T29">
            <v>414.4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B29">
            <v>0</v>
          </cell>
          <cell r="AC29">
            <v>0</v>
          </cell>
          <cell r="AD29">
            <v>4.5</v>
          </cell>
          <cell r="AE29">
            <v>36</v>
          </cell>
          <cell r="AF29">
            <v>0</v>
          </cell>
          <cell r="AG29">
            <v>0</v>
          </cell>
          <cell r="AH29">
            <v>1450.4</v>
          </cell>
          <cell r="AI29">
            <v>1</v>
          </cell>
          <cell r="AJ29">
            <v>6</v>
          </cell>
          <cell r="AK29">
            <v>0.75</v>
          </cell>
          <cell r="AM29">
            <v>14.504000000000001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S29">
            <v>21.254000000000001</v>
          </cell>
          <cell r="AT29">
            <v>1429.1460000000002</v>
          </cell>
          <cell r="AW29" t="str">
            <v>FARMACIA FARMANOSTRA GUANARE, C.A.</v>
          </cell>
        </row>
        <row r="30">
          <cell r="B30" t="str">
            <v>ADELALBA PEREZ</v>
          </cell>
          <cell r="C30">
            <v>10052314</v>
          </cell>
          <cell r="D30">
            <v>44979</v>
          </cell>
          <cell r="E30" t="str">
            <v>FARMACEUTICO</v>
          </cell>
          <cell r="F30" t="str">
            <v>FARMACIA FARMANOSTRA GUANARE, C.A.</v>
          </cell>
          <cell r="G30" t="str">
            <v>RIF-  J501049831</v>
          </cell>
          <cell r="H30" t="str">
            <v>Av.  principal local nro 1 barrio el cambio -  Guanare Portuguesa</v>
          </cell>
          <cell r="I30" t="str">
            <v>BANCO MERCANTIL</v>
          </cell>
          <cell r="J30" t="str">
            <v>0105-0059-1700-5936-6419</v>
          </cell>
          <cell r="K30" t="str">
            <v>AHORRO</v>
          </cell>
          <cell r="L30">
            <v>0</v>
          </cell>
          <cell r="M30">
            <v>33468.75</v>
          </cell>
          <cell r="N30">
            <v>4781.25</v>
          </cell>
          <cell r="O30">
            <v>597.65625</v>
          </cell>
          <cell r="P30">
            <v>1593.5906249999998</v>
          </cell>
          <cell r="Q30">
            <v>4</v>
          </cell>
          <cell r="R30">
            <v>19125</v>
          </cell>
          <cell r="S30">
            <v>2</v>
          </cell>
          <cell r="T30">
            <v>7650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26775</v>
          </cell>
          <cell r="AI30">
            <v>1</v>
          </cell>
          <cell r="AJ30">
            <v>6</v>
          </cell>
          <cell r="AK30">
            <v>0.75</v>
          </cell>
          <cell r="AM30">
            <v>267.75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S30">
            <v>274.5</v>
          </cell>
          <cell r="AT30">
            <v>26500.5</v>
          </cell>
          <cell r="AV30" t="str">
            <v>SE INCORPORÓ DE VACACIONES EL 09/12/25</v>
          </cell>
          <cell r="AW30" t="str">
            <v>FARMACIA FARMANOSTRA GUANARE, C.A.</v>
          </cell>
        </row>
        <row r="31">
          <cell r="B31" t="str">
            <v>DORKA NOHELYN LOPEZ RODRIGUEZ</v>
          </cell>
          <cell r="C31">
            <v>18102594</v>
          </cell>
          <cell r="D31">
            <v>45293</v>
          </cell>
          <cell r="E31" t="str">
            <v>COORD. DE INVENTARIO</v>
          </cell>
          <cell r="F31" t="str">
            <v>FARMACIA FARMANOSTRA GUANARE, C.A. /CORPORATIVO</v>
          </cell>
          <cell r="G31" t="str">
            <v>RIF-  J501049831</v>
          </cell>
          <cell r="H31" t="str">
            <v>Av.  principal local nro 1 barrio el cambio -  Guanare Portuguesa</v>
          </cell>
          <cell r="I31" t="str">
            <v>BANCO VENEZUELA</v>
          </cell>
          <cell r="J31" t="str">
            <v>0102-0211-6301-0017-5734</v>
          </cell>
          <cell r="K31" t="str">
            <v>CORRIENTE</v>
          </cell>
          <cell r="L31">
            <v>29452.5</v>
          </cell>
          <cell r="M31">
            <v>2500</v>
          </cell>
          <cell r="N31">
            <v>357.14285714285717</v>
          </cell>
          <cell r="O31">
            <v>44.642857142857146</v>
          </cell>
          <cell r="P31">
            <v>119.03571428571429</v>
          </cell>
          <cell r="Q31">
            <v>5</v>
          </cell>
          <cell r="R31">
            <v>1785.7142857142858</v>
          </cell>
          <cell r="S31">
            <v>2</v>
          </cell>
          <cell r="T31">
            <v>928.57142857142867</v>
          </cell>
          <cell r="U31">
            <v>1</v>
          </cell>
          <cell r="V31">
            <v>535.71428571428578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B31">
            <v>0</v>
          </cell>
          <cell r="AC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3250.0000000000005</v>
          </cell>
          <cell r="AI31">
            <v>1</v>
          </cell>
          <cell r="AJ31">
            <v>6</v>
          </cell>
          <cell r="AK31">
            <v>0.75</v>
          </cell>
          <cell r="AM31">
            <v>32.500000000000007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S31">
            <v>39.250000000000007</v>
          </cell>
          <cell r="AT31">
            <v>3210.7500000000005</v>
          </cell>
          <cell r="AV31" t="str">
            <v>DESCANSO TRABAJADO 06/12/25</v>
          </cell>
          <cell r="AW31" t="str">
            <v>FARMACIA FARMANOSTRA GUANARE, C.A. /CORPORATIVO</v>
          </cell>
        </row>
        <row r="32">
          <cell r="B32" t="str">
            <v>YANCARLIS YOLENNY RIVERO GONZALEZ</v>
          </cell>
          <cell r="C32">
            <v>30074456</v>
          </cell>
          <cell r="D32">
            <v>45309</v>
          </cell>
          <cell r="E32" t="str">
            <v>COORD. FINANCIERO</v>
          </cell>
          <cell r="F32" t="str">
            <v>FARMACIA FARMANOSTRA GUANARE, C.A. /CORPORATIVO</v>
          </cell>
          <cell r="G32" t="str">
            <v>RIF-  J501049831</v>
          </cell>
          <cell r="H32" t="str">
            <v>Av.  principal local nro 1 barrio el cambio -  Guanare Portuguesa</v>
          </cell>
          <cell r="I32" t="str">
            <v>BANCO VENEZUELA</v>
          </cell>
          <cell r="J32" t="str">
            <v>0102-0330-9300-0103-4253</v>
          </cell>
          <cell r="K32" t="str">
            <v>CORRIENTE</v>
          </cell>
          <cell r="L32">
            <v>29452.5</v>
          </cell>
          <cell r="M32">
            <v>2500</v>
          </cell>
          <cell r="N32">
            <v>357.14285714285717</v>
          </cell>
          <cell r="O32">
            <v>47.61904761904762</v>
          </cell>
          <cell r="P32">
            <v>119.03571428571429</v>
          </cell>
          <cell r="Q32">
            <v>5</v>
          </cell>
          <cell r="R32">
            <v>1785.7142857142858</v>
          </cell>
          <cell r="S32">
            <v>2</v>
          </cell>
          <cell r="T32">
            <v>928.57142857142867</v>
          </cell>
          <cell r="U32">
            <v>1</v>
          </cell>
          <cell r="V32">
            <v>535.71428571428578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3250.0000000000005</v>
          </cell>
          <cell r="AI32">
            <v>1</v>
          </cell>
          <cell r="AJ32">
            <v>6</v>
          </cell>
          <cell r="AK32">
            <v>0.75</v>
          </cell>
          <cell r="AM32">
            <v>32.500000000000007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S32">
            <v>39.250000000000007</v>
          </cell>
          <cell r="AT32">
            <v>3210.7500000000005</v>
          </cell>
          <cell r="AV32" t="str">
            <v>DESCANSO TRABAJADO 06/12/25</v>
          </cell>
          <cell r="AW32" t="str">
            <v>FARMACIA FARMANOSTRA GUANARE, C.A. /CORPORATIVO</v>
          </cell>
        </row>
        <row r="33">
          <cell r="B33" t="str">
            <v>GRISBEL VALENTINA ESCALONA COLMENAREZ</v>
          </cell>
          <cell r="C33">
            <v>20643419</v>
          </cell>
          <cell r="D33">
            <v>45314</v>
          </cell>
          <cell r="E33" t="str">
            <v>COORD. DE COMPRAS</v>
          </cell>
          <cell r="F33" t="str">
            <v>FARMACIA FARMANOSTRA GUANARE, C.A. /CORPORATIVO</v>
          </cell>
          <cell r="G33" t="str">
            <v>RIF-  J501049831</v>
          </cell>
          <cell r="H33" t="str">
            <v>Av.  principal local nro 1 barrio el cambio -  Guanare Portuguesa</v>
          </cell>
          <cell r="I33" t="str">
            <v>BANCO MERCANTIL</v>
          </cell>
          <cell r="J33" t="str">
            <v>0105-0059-1210-5939-3247</v>
          </cell>
          <cell r="K33" t="str">
            <v>CORRIENTE</v>
          </cell>
          <cell r="L33">
            <v>29452.5</v>
          </cell>
          <cell r="M33">
            <v>2500</v>
          </cell>
          <cell r="N33">
            <v>357.14285714285717</v>
          </cell>
          <cell r="O33">
            <v>44.642857142857146</v>
          </cell>
          <cell r="P33">
            <v>119.03571428571429</v>
          </cell>
          <cell r="Q33">
            <v>5</v>
          </cell>
          <cell r="R33">
            <v>1785.7142857142858</v>
          </cell>
          <cell r="S33">
            <v>2</v>
          </cell>
          <cell r="T33">
            <v>928.57142857142867</v>
          </cell>
          <cell r="U33">
            <v>1</v>
          </cell>
          <cell r="V33">
            <v>535.71428571428578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B33">
            <v>0</v>
          </cell>
          <cell r="AC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3250.0000000000005</v>
          </cell>
          <cell r="AI33">
            <v>1</v>
          </cell>
          <cell r="AJ33">
            <v>6</v>
          </cell>
          <cell r="AK33">
            <v>0.75</v>
          </cell>
          <cell r="AM33">
            <v>32.500000000000007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S33">
            <v>39.250000000000007</v>
          </cell>
          <cell r="AT33">
            <v>3210.7500000000005</v>
          </cell>
          <cell r="AV33" t="str">
            <v>DESCANSO TRABAJADO 06/12/25</v>
          </cell>
          <cell r="AW33" t="str">
            <v>FARMACIA FARMANOSTRA GUANARE, C.A. /CORPORATIVO</v>
          </cell>
        </row>
        <row r="34">
          <cell r="B34" t="str">
            <v>AMELIA MARIA SOTO LISCANO</v>
          </cell>
          <cell r="C34">
            <v>14271963</v>
          </cell>
          <cell r="D34">
            <v>45911</v>
          </cell>
          <cell r="E34" t="str">
            <v>ESPECIALISTA DE RRHH</v>
          </cell>
          <cell r="F34" t="str">
            <v>FARMACIA FARMANOSTRA GUANARE, C.A. /CORPORATIVO</v>
          </cell>
          <cell r="G34" t="str">
            <v>RIF-  J501049831</v>
          </cell>
          <cell r="H34" t="str">
            <v>Av.  principal local nro 1 barrio el cambio -  Guanare Portuguesa</v>
          </cell>
          <cell r="I34" t="str">
            <v>BANCO VENEZUELA</v>
          </cell>
          <cell r="J34" t="str">
            <v>0102-0330-9601-0078-6426</v>
          </cell>
          <cell r="K34" t="str">
            <v>AHORRO</v>
          </cell>
          <cell r="L34">
            <v>24097.5</v>
          </cell>
          <cell r="M34">
            <v>2000</v>
          </cell>
          <cell r="N34">
            <v>285.71428571428572</v>
          </cell>
          <cell r="O34">
            <v>35.714285714285715</v>
          </cell>
          <cell r="P34">
            <v>95.228571428571428</v>
          </cell>
          <cell r="Q34">
            <v>5</v>
          </cell>
          <cell r="R34">
            <v>1428.5714285714287</v>
          </cell>
          <cell r="S34">
            <v>2</v>
          </cell>
          <cell r="T34">
            <v>571.42857142857144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B34">
            <v>0</v>
          </cell>
          <cell r="AC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2000</v>
          </cell>
          <cell r="AI34">
            <v>1</v>
          </cell>
          <cell r="AJ34">
            <v>6</v>
          </cell>
          <cell r="AK34">
            <v>0.75</v>
          </cell>
          <cell r="AM34">
            <v>20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S34">
            <v>26.75</v>
          </cell>
          <cell r="AT34">
            <v>1973.25</v>
          </cell>
          <cell r="AW34" t="str">
            <v>FARMACIA FARMANOSTRA GUANARE, C.A. /CORPORATIVO</v>
          </cell>
        </row>
        <row r="35">
          <cell r="B35" t="str">
            <v>ANYILUZ SOTO RODRIGUEZ</v>
          </cell>
          <cell r="C35">
            <v>20271643</v>
          </cell>
          <cell r="D35">
            <v>45936</v>
          </cell>
          <cell r="E35" t="str">
            <v>ESPECIALISTA DE RRHH</v>
          </cell>
          <cell r="F35" t="str">
            <v>FARMACIA FARMANOSTRA GUANARE, C.A. /CORPORATIVO</v>
          </cell>
          <cell r="G35" t="str">
            <v>RIF-  J501049831</v>
          </cell>
          <cell r="H35" t="str">
            <v>Av.  principal local nro 1 barrio el cambio -  Guanare Portuguesa</v>
          </cell>
          <cell r="I35" t="str">
            <v>BANCO PROVINCIAL</v>
          </cell>
          <cell r="J35" t="str">
            <v>0108-0064-1115-0000-3508</v>
          </cell>
          <cell r="K35" t="str">
            <v>CORRIENTE</v>
          </cell>
          <cell r="L35">
            <v>24097.5</v>
          </cell>
          <cell r="M35">
            <v>2000</v>
          </cell>
          <cell r="N35">
            <v>285.71428571428572</v>
          </cell>
          <cell r="O35">
            <v>35.714285714285715</v>
          </cell>
          <cell r="P35">
            <v>95.228571428571428</v>
          </cell>
          <cell r="Q35">
            <v>5</v>
          </cell>
          <cell r="R35">
            <v>1428.5714285714287</v>
          </cell>
          <cell r="S35">
            <v>2</v>
          </cell>
          <cell r="T35">
            <v>571.42857142857144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B35">
            <v>0</v>
          </cell>
          <cell r="AC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2000</v>
          </cell>
          <cell r="AI35">
            <v>1</v>
          </cell>
          <cell r="AJ35">
            <v>6</v>
          </cell>
          <cell r="AK35">
            <v>0.75</v>
          </cell>
          <cell r="AM35">
            <v>20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S35">
            <v>26.75</v>
          </cell>
          <cell r="AT35">
            <v>1973.25</v>
          </cell>
          <cell r="AW35" t="str">
            <v>FARMACIA FARMANOSTRA GUANARE, C.A. /CORPORATIVO</v>
          </cell>
        </row>
        <row r="36">
          <cell r="B36" t="str">
            <v>EVELYN COROMOTO RODRIGUEZ PEREZ</v>
          </cell>
          <cell r="C36">
            <v>13038433</v>
          </cell>
          <cell r="D36">
            <v>45733</v>
          </cell>
          <cell r="E36" t="str">
            <v>COORD. CUENTAS POR PAGAR</v>
          </cell>
          <cell r="F36" t="str">
            <v>FARMACIA FARMANOSTRA GUANARE, C.A. /CORPORATIVO</v>
          </cell>
          <cell r="G36" t="str">
            <v>RIF-  J501049831</v>
          </cell>
          <cell r="H36" t="str">
            <v>Av.  principal local nro 1 barrio el cambio -  Guanare Portuguesa</v>
          </cell>
          <cell r="I36" t="str">
            <v>BANCO PROVINCIAL</v>
          </cell>
          <cell r="J36" t="str">
            <v> 0108 0201 68 0100280615</v>
          </cell>
          <cell r="K36" t="str">
            <v>CORRIENTE</v>
          </cell>
          <cell r="L36">
            <v>29452.5</v>
          </cell>
          <cell r="M36">
            <v>2500</v>
          </cell>
          <cell r="N36">
            <v>357.14285714285717</v>
          </cell>
          <cell r="O36">
            <v>44.642857142857146</v>
          </cell>
          <cell r="P36">
            <v>119.03571428571429</v>
          </cell>
          <cell r="Q36">
            <v>5</v>
          </cell>
          <cell r="R36">
            <v>1785.7142857142858</v>
          </cell>
          <cell r="S36">
            <v>2</v>
          </cell>
          <cell r="T36">
            <v>928.57142857142867</v>
          </cell>
          <cell r="U36">
            <v>1</v>
          </cell>
          <cell r="V36">
            <v>535.71428571428578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B36">
            <v>0</v>
          </cell>
          <cell r="AC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3250.0000000000005</v>
          </cell>
          <cell r="AI36">
            <v>1</v>
          </cell>
          <cell r="AJ36">
            <v>6</v>
          </cell>
          <cell r="AK36">
            <v>0.75</v>
          </cell>
          <cell r="AM36">
            <v>32.500000000000007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S36">
            <v>39.250000000000007</v>
          </cell>
          <cell r="AT36">
            <v>3210.7500000000005</v>
          </cell>
          <cell r="AV36" t="str">
            <v>DESCANSO TRABAJADO 06/12/25</v>
          </cell>
          <cell r="AW36" t="str">
            <v>FARMACIA FARMANOSTRA GUANARE, C.A. /CORPORATIVO</v>
          </cell>
        </row>
        <row r="37">
          <cell r="B37" t="str">
            <v>ELISA ESTELA DAZA</v>
          </cell>
          <cell r="C37">
            <v>19678992</v>
          </cell>
          <cell r="D37">
            <v>45761</v>
          </cell>
          <cell r="E37" t="str">
            <v>COORD. CUENTAS POR PAGAR</v>
          </cell>
          <cell r="F37" t="str">
            <v>FARMACIA FARMANOSTRA GUANARE, C.A. /CORPORATIVO</v>
          </cell>
          <cell r="G37" t="str">
            <v>RIF-  J501049831</v>
          </cell>
          <cell r="H37" t="str">
            <v>Av.  principal local nro 1 barrio el cambio -  Guanare Portuguesa</v>
          </cell>
          <cell r="I37" t="str">
            <v>BANCO VENEZUELA</v>
          </cell>
          <cell r="J37" t="str">
            <v>0102-0313-99-00000-17530</v>
          </cell>
          <cell r="K37" t="str">
            <v>CORRIENTE</v>
          </cell>
          <cell r="L37">
            <v>29452.5</v>
          </cell>
          <cell r="M37">
            <v>2500</v>
          </cell>
          <cell r="N37">
            <v>357.14285714285717</v>
          </cell>
          <cell r="O37">
            <v>44.642857142857146</v>
          </cell>
          <cell r="P37">
            <v>119.03571428571429</v>
          </cell>
          <cell r="Q37">
            <v>5</v>
          </cell>
          <cell r="R37">
            <v>1785.7142857142858</v>
          </cell>
          <cell r="S37">
            <v>2</v>
          </cell>
          <cell r="T37">
            <v>714.28571428571433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B37">
            <v>0</v>
          </cell>
          <cell r="AC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2500</v>
          </cell>
          <cell r="AI37">
            <v>1</v>
          </cell>
          <cell r="AJ37">
            <v>6</v>
          </cell>
          <cell r="AK37">
            <v>0.75</v>
          </cell>
          <cell r="AM37">
            <v>25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S37">
            <v>31.75</v>
          </cell>
          <cell r="AT37">
            <v>2468.25</v>
          </cell>
          <cell r="AW37" t="str">
            <v>FARMACIA FARMANOSTRA GUANARE, C.A. /CORPORATIVO</v>
          </cell>
        </row>
        <row r="38">
          <cell r="B38" t="str">
            <v>ANGELA PAEZ</v>
          </cell>
          <cell r="C38">
            <v>17363079</v>
          </cell>
          <cell r="D38">
            <v>45894</v>
          </cell>
          <cell r="E38" t="str">
            <v>ESPECIALISTA DE INVENTARIO</v>
          </cell>
          <cell r="F38" t="str">
            <v>FARMACIA FARMANOSTRA GUANARE, C.A. /CORPORATIVO</v>
          </cell>
          <cell r="G38" t="str">
            <v>RIF-  J501049831</v>
          </cell>
          <cell r="H38" t="str">
            <v>Av.  principal local nro 1 barrio el cambio -  Guanare Portuguesa</v>
          </cell>
          <cell r="I38" t="str">
            <v>BANCO BANESCO</v>
          </cell>
          <cell r="J38" t="str">
            <v>0134-2166-8500-0100-2124</v>
          </cell>
          <cell r="K38" t="str">
            <v>CORRIENTE</v>
          </cell>
          <cell r="L38">
            <v>24097.5</v>
          </cell>
          <cell r="M38">
            <v>1600</v>
          </cell>
          <cell r="N38">
            <v>228.57142857142858</v>
          </cell>
          <cell r="O38">
            <v>28.571428571428573</v>
          </cell>
          <cell r="P38">
            <v>76.182857142857145</v>
          </cell>
          <cell r="Q38">
            <v>5</v>
          </cell>
          <cell r="R38">
            <v>1142.8571428571429</v>
          </cell>
          <cell r="S38">
            <v>2</v>
          </cell>
          <cell r="T38">
            <v>594.28571428571433</v>
          </cell>
          <cell r="U38">
            <v>1</v>
          </cell>
          <cell r="V38">
            <v>342.85714285714289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B38">
            <v>0</v>
          </cell>
          <cell r="AC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2080</v>
          </cell>
          <cell r="AI38">
            <v>1</v>
          </cell>
          <cell r="AJ38">
            <v>6</v>
          </cell>
          <cell r="AK38">
            <v>0.75</v>
          </cell>
          <cell r="AM38">
            <v>20.8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S38">
            <v>27.55</v>
          </cell>
          <cell r="AT38">
            <v>2052.4499999999998</v>
          </cell>
          <cell r="AV38" t="str">
            <v>DESCANSO TRABAJADO 06/12/25</v>
          </cell>
          <cell r="AW38" t="str">
            <v>FARMACIA FARMANOSTRA GUANARE, C.A. /CORPORATIVO</v>
          </cell>
        </row>
        <row r="39">
          <cell r="B39" t="str">
            <v>SANDRIANYZ DANIELA PEREIRA RONDON</v>
          </cell>
          <cell r="C39">
            <v>29919196</v>
          </cell>
          <cell r="D39">
            <v>45999</v>
          </cell>
          <cell r="E39" t="str">
            <v>ANALISTA DE TESORERIA</v>
          </cell>
          <cell r="F39" t="str">
            <v>FARMACIA FARMANOSTRA GUANARE, C.A. /CORPORATIVO</v>
          </cell>
          <cell r="G39" t="str">
            <v>RIF-  J501049831</v>
          </cell>
          <cell r="H39" t="str">
            <v>Av.  principal local nro 1 barrio el cambio -  Guanare Portuguesa</v>
          </cell>
          <cell r="L39">
            <v>16065</v>
          </cell>
          <cell r="M39">
            <v>2000</v>
          </cell>
          <cell r="N39">
            <v>285.71428571428572</v>
          </cell>
          <cell r="O39">
            <v>35.714285714285715</v>
          </cell>
          <cell r="P39">
            <v>95.228571428571428</v>
          </cell>
          <cell r="Q39">
            <v>5</v>
          </cell>
          <cell r="R39">
            <v>1428.5714285714287</v>
          </cell>
          <cell r="S39">
            <v>2</v>
          </cell>
          <cell r="T39">
            <v>571.42857142857144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B39">
            <v>0</v>
          </cell>
          <cell r="AC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2000</v>
          </cell>
          <cell r="AI39">
            <v>1</v>
          </cell>
          <cell r="AJ39">
            <v>6</v>
          </cell>
          <cell r="AK39">
            <v>0.75</v>
          </cell>
          <cell r="AM39">
            <v>20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S39">
            <v>26.75</v>
          </cell>
          <cell r="AT39">
            <v>1973.25</v>
          </cell>
          <cell r="AW39" t="str">
            <v>FARMACIA FARMANOSTRA GUANARE, C.A. /CORPORATIVO</v>
          </cell>
        </row>
        <row r="40">
          <cell r="B40" t="str">
            <v>SIMON ALBERTO ORTIZ MEDINA</v>
          </cell>
          <cell r="C40">
            <v>25956343</v>
          </cell>
          <cell r="D40">
            <v>46000</v>
          </cell>
          <cell r="E40" t="str">
            <v>ANALISTA DE TESORERIA</v>
          </cell>
          <cell r="F40" t="str">
            <v>FARMACIA FARMANOSTRA GUANARE, C.A. /CORPORATIVO</v>
          </cell>
          <cell r="G40" t="str">
            <v>RIF-  J501049831</v>
          </cell>
          <cell r="H40" t="str">
            <v>Av.  principal local nro 1 barrio el cambio -  Guanare Portuguesa</v>
          </cell>
          <cell r="L40">
            <v>16065</v>
          </cell>
          <cell r="M40">
            <v>2000</v>
          </cell>
          <cell r="N40">
            <v>285.71428571428572</v>
          </cell>
          <cell r="O40">
            <v>35.714285714285715</v>
          </cell>
          <cell r="P40">
            <v>95.228571428571428</v>
          </cell>
          <cell r="Q40">
            <v>4</v>
          </cell>
          <cell r="R40">
            <v>1142.8571428571429</v>
          </cell>
          <cell r="S40">
            <v>2</v>
          </cell>
          <cell r="T40">
            <v>457.14285714285717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B40">
            <v>0</v>
          </cell>
          <cell r="AC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1600</v>
          </cell>
          <cell r="AI40">
            <v>1</v>
          </cell>
          <cell r="AJ40">
            <v>6</v>
          </cell>
          <cell r="AK40">
            <v>0.75</v>
          </cell>
          <cell r="AM40">
            <v>16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S40">
            <v>22.75</v>
          </cell>
          <cell r="AT40">
            <v>1577.25</v>
          </cell>
          <cell r="AW40" t="str">
            <v>FARMACIA FARMANOSTRA GUANARE, C.A. /CORPORATIVO</v>
          </cell>
        </row>
        <row r="41">
          <cell r="B41" t="str">
            <v>JOSE GREGORIO YANEZ RAMONE</v>
          </cell>
          <cell r="C41">
            <v>16520363</v>
          </cell>
          <cell r="D41">
            <v>45294</v>
          </cell>
          <cell r="E41" t="str">
            <v>GERENTE</v>
          </cell>
          <cell r="F41" t="str">
            <v>FARMACIA LOS LLANOS DE OSPINO C.A</v>
          </cell>
          <cell r="G41" t="str">
            <v xml:space="preserve">RIF- J504098116 </v>
          </cell>
          <cell r="H41" t="str">
            <v>Carrera 5 esquina calle 09, Sector Centro local 12-14  Guanare Portuguesa</v>
          </cell>
          <cell r="I41" t="str">
            <v>BANCO BANESCO</v>
          </cell>
          <cell r="J41" t="str">
            <v>0134-0408-9740-8105-3675</v>
          </cell>
          <cell r="K41" t="str">
            <v>CORRIENTE</v>
          </cell>
          <cell r="L41">
            <v>58905</v>
          </cell>
          <cell r="M41">
            <v>2500</v>
          </cell>
          <cell r="N41">
            <v>357.14285714285717</v>
          </cell>
          <cell r="O41">
            <v>44.642857142857146</v>
          </cell>
          <cell r="P41">
            <v>119.03571428571429</v>
          </cell>
          <cell r="Q41">
            <v>5</v>
          </cell>
          <cell r="R41">
            <v>1785.7142857142858</v>
          </cell>
          <cell r="S41">
            <v>2</v>
          </cell>
          <cell r="T41">
            <v>714.28571428571433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B41">
            <v>0</v>
          </cell>
          <cell r="AC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2500</v>
          </cell>
          <cell r="AI41">
            <v>1</v>
          </cell>
          <cell r="AJ41">
            <v>6</v>
          </cell>
          <cell r="AK41">
            <v>0.75</v>
          </cell>
          <cell r="AM41">
            <v>25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S41">
            <v>31.75</v>
          </cell>
          <cell r="AT41">
            <v>2468.25</v>
          </cell>
          <cell r="AW41" t="str">
            <v>FARMACIA LOS LLANOS DE OSPINO C.A</v>
          </cell>
        </row>
        <row r="42">
          <cell r="B42" t="str">
            <v xml:space="preserve">YENIFER COROMOTO GARRIDO GALLARDO </v>
          </cell>
          <cell r="C42">
            <v>18224805</v>
          </cell>
          <cell r="D42">
            <v>45342</v>
          </cell>
          <cell r="E42" t="str">
            <v>COORD. ADMINISTRATIVO</v>
          </cell>
          <cell r="F42" t="str">
            <v>FARMACIA LOS LLANOS DE OSPINO C.A</v>
          </cell>
          <cell r="G42" t="str">
            <v xml:space="preserve">RIF- J504098116 </v>
          </cell>
          <cell r="H42" t="str">
            <v>Carrera 5 esquina calle 09, Sector Centro local 12-14  Guanare Portuguesa</v>
          </cell>
          <cell r="I42" t="str">
            <v>BANCO BANESCO</v>
          </cell>
          <cell r="J42" t="str">
            <v>0134-0408-9840-8105-2419</v>
          </cell>
          <cell r="K42" t="str">
            <v>CORRIENTE</v>
          </cell>
          <cell r="L42">
            <v>24097.5</v>
          </cell>
          <cell r="M42">
            <v>2500</v>
          </cell>
          <cell r="N42">
            <v>357.14285714285717</v>
          </cell>
          <cell r="O42">
            <v>44.642857142857146</v>
          </cell>
          <cell r="P42">
            <v>119.03571428571429</v>
          </cell>
          <cell r="Q42">
            <v>5</v>
          </cell>
          <cell r="R42">
            <v>1785.7142857142858</v>
          </cell>
          <cell r="S42">
            <v>2</v>
          </cell>
          <cell r="T42">
            <v>714.28571428571433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B42">
            <v>0</v>
          </cell>
          <cell r="AC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2500</v>
          </cell>
          <cell r="AI42">
            <v>1</v>
          </cell>
          <cell r="AJ42">
            <v>6</v>
          </cell>
          <cell r="AK42">
            <v>0.75</v>
          </cell>
          <cell r="AM42">
            <v>25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S42">
            <v>31.75</v>
          </cell>
          <cell r="AT42">
            <v>2468.25</v>
          </cell>
          <cell r="AW42" t="str">
            <v>FARMACIA LOS LLANOS DE OSPINO C.A</v>
          </cell>
        </row>
        <row r="43">
          <cell r="B43" t="str">
            <v xml:space="preserve">JUNIOR JOSE SINGER PEREZ </v>
          </cell>
          <cell r="C43">
            <v>24807692</v>
          </cell>
          <cell r="D43">
            <v>45139</v>
          </cell>
          <cell r="E43" t="str">
            <v>CHOFER</v>
          </cell>
          <cell r="F43" t="str">
            <v>FARMACIA LOS LLANOS DE OSPINO C.A</v>
          </cell>
          <cell r="G43" t="str">
            <v xml:space="preserve">RIF- J504098116 </v>
          </cell>
          <cell r="H43" t="str">
            <v>Carrera 5 esquina calle 09, Sector Centro local 12-14  Guanare Portuguesa</v>
          </cell>
          <cell r="I43" t="str">
            <v>BANCO VENEZUELA</v>
          </cell>
          <cell r="J43" t="str">
            <v> 0102-0156-0601-0981-1892</v>
          </cell>
          <cell r="K43" t="str">
            <v>AHORRO</v>
          </cell>
          <cell r="L43">
            <v>13387.5</v>
          </cell>
          <cell r="M43">
            <v>1400</v>
          </cell>
          <cell r="N43">
            <v>200</v>
          </cell>
          <cell r="O43">
            <v>25</v>
          </cell>
          <cell r="P43">
            <v>66.66</v>
          </cell>
          <cell r="Q43">
            <v>5</v>
          </cell>
          <cell r="R43">
            <v>1000</v>
          </cell>
          <cell r="S43">
            <v>2</v>
          </cell>
          <cell r="T43">
            <v>400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B43">
            <v>0</v>
          </cell>
          <cell r="AC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1400</v>
          </cell>
          <cell r="AI43">
            <v>1</v>
          </cell>
          <cell r="AJ43">
            <v>6</v>
          </cell>
          <cell r="AK43">
            <v>0.75</v>
          </cell>
          <cell r="AM43">
            <v>14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S43">
            <v>20.75</v>
          </cell>
          <cell r="AT43">
            <v>1379.25</v>
          </cell>
          <cell r="AW43" t="str">
            <v>FARMACIA LOS LLANOS DE OSPINO C.A</v>
          </cell>
        </row>
        <row r="44">
          <cell r="B44" t="str">
            <v>LAURENTH CANELON</v>
          </cell>
          <cell r="C44">
            <v>26705934</v>
          </cell>
          <cell r="D44">
            <v>45558</v>
          </cell>
          <cell r="E44" t="str">
            <v>AUX. DE ALMACEN</v>
          </cell>
          <cell r="F44" t="str">
            <v>FARMACIA LOS LLANOS DE OSPINO C.A</v>
          </cell>
          <cell r="G44" t="str">
            <v xml:space="preserve">RIF- J504098116 </v>
          </cell>
          <cell r="H44" t="str">
            <v>Carrera 5 esquina calle 09, Sector Centro local 12-14  Guanare Portuguesa</v>
          </cell>
          <cell r="I44" t="str">
            <v>BANCO PROVINCIAL</v>
          </cell>
          <cell r="J44" t="str">
            <v>0108-0389-6701-0005-4554</v>
          </cell>
          <cell r="K44" t="str">
            <v>CORRIENTE</v>
          </cell>
          <cell r="L44">
            <v>13387.5</v>
          </cell>
          <cell r="M44">
            <v>1400</v>
          </cell>
          <cell r="N44">
            <v>200</v>
          </cell>
          <cell r="O44">
            <v>25</v>
          </cell>
          <cell r="P44">
            <v>66.66</v>
          </cell>
          <cell r="Q44">
            <v>5</v>
          </cell>
          <cell r="R44">
            <v>1000</v>
          </cell>
          <cell r="S44">
            <v>2</v>
          </cell>
          <cell r="T44">
            <v>400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B44">
            <v>0</v>
          </cell>
          <cell r="AC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1400</v>
          </cell>
          <cell r="AI44">
            <v>1</v>
          </cell>
          <cell r="AJ44">
            <v>6</v>
          </cell>
          <cell r="AK44">
            <v>0.75</v>
          </cell>
          <cell r="AM44">
            <v>14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S44">
            <v>20.75</v>
          </cell>
          <cell r="AT44">
            <v>1379.25</v>
          </cell>
          <cell r="AW44" t="str">
            <v>FARMACIA LOS LLANOS DE OSPINO C.A</v>
          </cell>
        </row>
        <row r="45">
          <cell r="B45" t="str">
            <v>MARIVI DEL VALLE SEGOVIA RIVERO</v>
          </cell>
          <cell r="C45">
            <v>15399781</v>
          </cell>
          <cell r="D45">
            <v>45261</v>
          </cell>
          <cell r="E45" t="str">
            <v>CAJERO (A)</v>
          </cell>
          <cell r="F45" t="str">
            <v>FARMACIA LOS LLANOS DE OSPINO C.A</v>
          </cell>
          <cell r="G45" t="str">
            <v xml:space="preserve">RIF- J504098116 </v>
          </cell>
          <cell r="H45" t="str">
            <v>Carrera 5 esquina calle 09, Sector Centro local 12-14  Guanare Portuguesa</v>
          </cell>
          <cell r="I45" t="str">
            <v>BANCO VENEZUELA</v>
          </cell>
          <cell r="J45" t="str">
            <v> 0102-0346-5601-0663-4128</v>
          </cell>
          <cell r="K45" t="str">
            <v>AHORRO</v>
          </cell>
          <cell r="L45">
            <v>16065</v>
          </cell>
          <cell r="M45">
            <v>1400</v>
          </cell>
          <cell r="N45">
            <v>200</v>
          </cell>
          <cell r="O45">
            <v>25</v>
          </cell>
          <cell r="P45">
            <v>66.66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7</v>
          </cell>
          <cell r="Z45">
            <v>466.62</v>
          </cell>
          <cell r="AB45">
            <v>0</v>
          </cell>
          <cell r="AC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466.62</v>
          </cell>
          <cell r="AI45">
            <v>1</v>
          </cell>
          <cell r="AJ45">
            <v>6</v>
          </cell>
          <cell r="AK45">
            <v>0.75</v>
          </cell>
          <cell r="AM45">
            <v>4.6661999999999999</v>
          </cell>
          <cell r="AO45">
            <v>0</v>
          </cell>
          <cell r="AP45">
            <v>0</v>
          </cell>
          <cell r="AQ45">
            <v>0</v>
          </cell>
          <cell r="AS45">
            <v>11.4162</v>
          </cell>
          <cell r="AT45">
            <v>455.2038</v>
          </cell>
          <cell r="AV45" t="str">
            <v>REPOSO POST OPERATORIO</v>
          </cell>
          <cell r="AW45" t="str">
            <v>FARMACIA LOS LLANOS DE OSPINO C.A</v>
          </cell>
        </row>
        <row r="46">
          <cell r="B46" t="str">
            <v>JUNIOR ENRIQUE LEAL ESCALONA</v>
          </cell>
          <cell r="C46">
            <v>17616649</v>
          </cell>
          <cell r="D46">
            <v>45313</v>
          </cell>
          <cell r="E46" t="str">
            <v>CAJERO (A)</v>
          </cell>
          <cell r="F46" t="str">
            <v>FARMACIA LOS LLANOS DE OSPINO C.A</v>
          </cell>
          <cell r="G46" t="str">
            <v xml:space="preserve">RIF- J504098116 </v>
          </cell>
          <cell r="H46" t="str">
            <v>Carrera 5 esquina calle 09, Sector Centro local 12-14  Guanare Portuguesa</v>
          </cell>
          <cell r="I46" t="str">
            <v>BANCO MERCANTIL</v>
          </cell>
          <cell r="J46" t="str">
            <v> 0105-0059-1800-5943-1423</v>
          </cell>
          <cell r="K46" t="str">
            <v>AHORRO</v>
          </cell>
          <cell r="L46">
            <v>16065</v>
          </cell>
          <cell r="M46">
            <v>1400</v>
          </cell>
          <cell r="N46">
            <v>200</v>
          </cell>
          <cell r="O46">
            <v>25</v>
          </cell>
          <cell r="P46">
            <v>66.66</v>
          </cell>
          <cell r="Q46">
            <v>5</v>
          </cell>
          <cell r="R46">
            <v>1000</v>
          </cell>
          <cell r="S46">
            <v>2</v>
          </cell>
          <cell r="T46">
            <v>520</v>
          </cell>
          <cell r="U46">
            <v>1</v>
          </cell>
          <cell r="V46">
            <v>300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B46">
            <v>0</v>
          </cell>
          <cell r="AC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1820</v>
          </cell>
          <cell r="AI46">
            <v>1</v>
          </cell>
          <cell r="AJ46">
            <v>6</v>
          </cell>
          <cell r="AK46">
            <v>0.75</v>
          </cell>
          <cell r="AM46">
            <v>18.2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S46">
            <v>24.95</v>
          </cell>
          <cell r="AT46">
            <v>1795.05</v>
          </cell>
          <cell r="AV46" t="str">
            <v>DOMINGO 07/12/2025</v>
          </cell>
          <cell r="AW46" t="str">
            <v>FARMACIA LOS LLANOS DE OSPINO C.A</v>
          </cell>
        </row>
        <row r="47">
          <cell r="B47" t="str">
            <v>ELIZABETH APONTE</v>
          </cell>
          <cell r="C47">
            <v>21562526</v>
          </cell>
          <cell r="D47">
            <v>45321</v>
          </cell>
          <cell r="E47" t="str">
            <v>CAJERO (A)</v>
          </cell>
          <cell r="F47" t="str">
            <v>FARMACIA LOS LLANOS DE OSPINO C.A</v>
          </cell>
          <cell r="G47" t="str">
            <v xml:space="preserve">RIF- J504098116 </v>
          </cell>
          <cell r="H47" t="str">
            <v>Carrera 5 esquina calle 09, Sector Centro local 12-14  Guanare Portuguesa</v>
          </cell>
          <cell r="I47" t="str">
            <v>BANCO BANCAMIGA</v>
          </cell>
          <cell r="J47" t="str">
            <v>0172-0250-2725-0827-4889</v>
          </cell>
          <cell r="K47" t="str">
            <v>CORRIENTE</v>
          </cell>
          <cell r="L47">
            <v>16065</v>
          </cell>
          <cell r="M47">
            <v>1400</v>
          </cell>
          <cell r="N47">
            <v>200</v>
          </cell>
          <cell r="O47">
            <v>25</v>
          </cell>
          <cell r="P47">
            <v>66.66</v>
          </cell>
          <cell r="Q47">
            <v>5</v>
          </cell>
          <cell r="R47">
            <v>1000</v>
          </cell>
          <cell r="S47">
            <v>2</v>
          </cell>
          <cell r="T47">
            <v>400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1400</v>
          </cell>
          <cell r="AI47">
            <v>1</v>
          </cell>
          <cell r="AJ47">
            <v>6</v>
          </cell>
          <cell r="AK47">
            <v>0.75</v>
          </cell>
          <cell r="AM47">
            <v>14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S47">
            <v>20.75</v>
          </cell>
          <cell r="AT47">
            <v>1379.25</v>
          </cell>
          <cell r="AW47" t="str">
            <v>FARMACIA LOS LLANOS DE OSPINO C.A</v>
          </cell>
        </row>
        <row r="48">
          <cell r="B48" t="str">
            <v>FLORANNA COROMOTO GONZALEZ SIBRIAN</v>
          </cell>
          <cell r="C48">
            <v>23485080</v>
          </cell>
          <cell r="D48">
            <v>45847</v>
          </cell>
          <cell r="E48" t="str">
            <v>AUX. DE ALMACEN</v>
          </cell>
          <cell r="F48" t="str">
            <v>FARMACIA LOS LLANOS DE OSPINO C.A</v>
          </cell>
          <cell r="G48" t="str">
            <v xml:space="preserve">RIF- J504098116 </v>
          </cell>
          <cell r="H48" t="str">
            <v>Carrera 5 esquina calle 09, Sector Centro local 12-14  Guanare Portuguesa</v>
          </cell>
          <cell r="I48" t="str">
            <v>BANCO VENEZUELA</v>
          </cell>
          <cell r="J48" t="str">
            <v>0102-0741-0700-0009-0104</v>
          </cell>
          <cell r="K48" t="str">
            <v>GLOBAL</v>
          </cell>
          <cell r="L48">
            <v>13387.5</v>
          </cell>
          <cell r="M48">
            <v>1400</v>
          </cell>
          <cell r="N48">
            <v>200</v>
          </cell>
          <cell r="O48">
            <v>25</v>
          </cell>
          <cell r="P48">
            <v>66.66</v>
          </cell>
          <cell r="Q48">
            <v>5</v>
          </cell>
          <cell r="R48">
            <v>1000</v>
          </cell>
          <cell r="S48">
            <v>2</v>
          </cell>
          <cell r="T48">
            <v>400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B48">
            <v>0</v>
          </cell>
          <cell r="AC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1400</v>
          </cell>
          <cell r="AI48">
            <v>1</v>
          </cell>
          <cell r="AJ48">
            <v>6</v>
          </cell>
          <cell r="AK48">
            <v>0.75</v>
          </cell>
          <cell r="AM48">
            <v>14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S48">
            <v>20.75</v>
          </cell>
          <cell r="AT48">
            <v>1379.25</v>
          </cell>
          <cell r="AW48" t="str">
            <v>FARMACIA LOS LLANOS DE OSPINO C.A</v>
          </cell>
        </row>
        <row r="49">
          <cell r="B49" t="str">
            <v xml:space="preserve">ROSA MERCEDES HERNANDEZ QUINTERO </v>
          </cell>
          <cell r="C49">
            <v>12647918</v>
          </cell>
          <cell r="D49">
            <v>45139</v>
          </cell>
          <cell r="E49" t="str">
            <v>FARMACEUTICO</v>
          </cell>
          <cell r="F49" t="str">
            <v>FARMACIA LOS LLANOS DE OSPINO C.A</v>
          </cell>
          <cell r="G49" t="str">
            <v xml:space="preserve">RIF- J504098116 </v>
          </cell>
          <cell r="H49" t="str">
            <v>Carrera 5 esquina calle 09, Sector Centro local 12-14  Guanare Portuguesa</v>
          </cell>
          <cell r="I49" t="str">
            <v>BANCO VENEZUELA</v>
          </cell>
          <cell r="J49" t="str">
            <v> 0102-0147-1801-0001-2778</v>
          </cell>
          <cell r="K49" t="str">
            <v>AHORRO</v>
          </cell>
          <cell r="L49">
            <v>0</v>
          </cell>
          <cell r="M49">
            <v>33468.75</v>
          </cell>
          <cell r="N49">
            <v>4781.25</v>
          </cell>
          <cell r="O49">
            <v>597.65625</v>
          </cell>
          <cell r="P49">
            <v>1593.5906249999998</v>
          </cell>
          <cell r="Q49">
            <v>5</v>
          </cell>
          <cell r="R49">
            <v>23906.25</v>
          </cell>
          <cell r="S49">
            <v>2</v>
          </cell>
          <cell r="T49">
            <v>9562.5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B49">
            <v>0</v>
          </cell>
          <cell r="AC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33468.75</v>
          </cell>
          <cell r="AI49">
            <v>1</v>
          </cell>
          <cell r="AJ49">
            <v>6</v>
          </cell>
          <cell r="AK49">
            <v>0.75</v>
          </cell>
          <cell r="AM49">
            <v>334.6875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S49">
            <v>341.4375</v>
          </cell>
          <cell r="AT49">
            <v>33127.3125</v>
          </cell>
          <cell r="AU49">
            <v>0</v>
          </cell>
          <cell r="AW49" t="str">
            <v>FARMACIA LOS LLANOS DE OSPINO C.A</v>
          </cell>
        </row>
        <row r="50">
          <cell r="B50" t="str">
            <v>ALBA CAROLINA BENITEZ CAMACHO</v>
          </cell>
          <cell r="C50">
            <v>18101843</v>
          </cell>
          <cell r="D50">
            <v>45958</v>
          </cell>
          <cell r="E50" t="str">
            <v>CAJERO (A)</v>
          </cell>
          <cell r="F50" t="str">
            <v>FARMACIA LOS LLANOS DE OSPINO C.A</v>
          </cell>
          <cell r="G50" t="str">
            <v xml:space="preserve">RIF- J504098116 </v>
          </cell>
          <cell r="H50" t="str">
            <v>Carrera 5 esquina calle 09, Sector Centro local 12-14  Guanare Portuguesa</v>
          </cell>
          <cell r="I50" t="str">
            <v>BANCO VENEZUELA</v>
          </cell>
          <cell r="J50" t="str">
            <v>0102-0346-5500-0079-0352</v>
          </cell>
          <cell r="K50" t="str">
            <v>CORRIENTE</v>
          </cell>
          <cell r="L50">
            <v>16065</v>
          </cell>
          <cell r="M50">
            <v>1400</v>
          </cell>
          <cell r="N50">
            <v>200</v>
          </cell>
          <cell r="O50">
            <v>26.666666666666668</v>
          </cell>
          <cell r="P50">
            <v>66.66</v>
          </cell>
          <cell r="Q50">
            <v>5</v>
          </cell>
          <cell r="R50">
            <v>1000</v>
          </cell>
          <cell r="S50">
            <v>2</v>
          </cell>
          <cell r="T50">
            <v>526.4</v>
          </cell>
          <cell r="U50">
            <v>1</v>
          </cell>
          <cell r="V50">
            <v>300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B50">
            <v>0</v>
          </cell>
          <cell r="AC50">
            <v>0</v>
          </cell>
          <cell r="AD50">
            <v>2</v>
          </cell>
          <cell r="AE50">
            <v>16</v>
          </cell>
          <cell r="AF50">
            <v>0</v>
          </cell>
          <cell r="AG50">
            <v>0</v>
          </cell>
          <cell r="AH50">
            <v>1842.4</v>
          </cell>
          <cell r="AI50">
            <v>1</v>
          </cell>
          <cell r="AJ50">
            <v>6</v>
          </cell>
          <cell r="AK50">
            <v>0.75</v>
          </cell>
          <cell r="AM50">
            <v>18.424000000000003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S50">
            <v>25.174000000000003</v>
          </cell>
          <cell r="AT50">
            <v>1817.2260000000001</v>
          </cell>
          <cell r="AV50" t="str">
            <v>DOMINGO 07/12/2025</v>
          </cell>
          <cell r="AW50" t="str">
            <v>FARMACIA LOS LLANOS DE OSPINO C.A</v>
          </cell>
        </row>
        <row r="51">
          <cell r="B51" t="str">
            <v>YORMARI PERAZA</v>
          </cell>
          <cell r="C51">
            <v>17362211</v>
          </cell>
          <cell r="D51">
            <v>45978</v>
          </cell>
          <cell r="E51" t="str">
            <v>CAJERO (A)</v>
          </cell>
          <cell r="F51" t="str">
            <v>FARMACIA LOS LLANOS DE OSPINO C.A</v>
          </cell>
          <cell r="G51" t="str">
            <v xml:space="preserve">RIF- J504098116 </v>
          </cell>
          <cell r="H51" t="str">
            <v>Carrera 5 esquina calle 09, Sector Centro local 12-14  Guanare Portuguesa</v>
          </cell>
          <cell r="I51" t="str">
            <v>BANCO PROVINCIAL</v>
          </cell>
          <cell r="J51" t="str">
            <v>0108-0542-2101-0005-5825</v>
          </cell>
          <cell r="K51" t="str">
            <v>CORRIENTE</v>
          </cell>
          <cell r="L51">
            <v>13387.5</v>
          </cell>
          <cell r="M51">
            <v>1400</v>
          </cell>
          <cell r="N51">
            <v>200</v>
          </cell>
          <cell r="O51">
            <v>25</v>
          </cell>
          <cell r="P51">
            <v>66.66</v>
          </cell>
          <cell r="Q51">
            <v>5</v>
          </cell>
          <cell r="R51">
            <v>1000</v>
          </cell>
          <cell r="S51">
            <v>2</v>
          </cell>
          <cell r="T51">
            <v>400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B51">
            <v>0</v>
          </cell>
          <cell r="AC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1400</v>
          </cell>
          <cell r="AI51">
            <v>1</v>
          </cell>
          <cell r="AJ51">
            <v>6</v>
          </cell>
          <cell r="AK51">
            <v>0.75</v>
          </cell>
          <cell r="AM51">
            <v>14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S51">
            <v>20.75</v>
          </cell>
          <cell r="AT51">
            <v>1379.25</v>
          </cell>
          <cell r="AW51" t="str">
            <v>FARMACIA LOS LLANOS DE OSPINO C.A</v>
          </cell>
        </row>
        <row r="52">
          <cell r="B52" t="str">
            <v>MARIEXI BRICEÑO</v>
          </cell>
          <cell r="C52">
            <v>18891102</v>
          </cell>
          <cell r="D52">
            <v>45978</v>
          </cell>
          <cell r="E52" t="str">
            <v xml:space="preserve">SUPERVISOR DE ALMACEN </v>
          </cell>
          <cell r="F52" t="str">
            <v>FARMACIA LOS LLANOS DE OSPINO C.A</v>
          </cell>
          <cell r="G52" t="str">
            <v xml:space="preserve">RIF- J504098116 </v>
          </cell>
          <cell r="H52" t="str">
            <v>Carrera 5 esquina calle 09, Sector Centro local 12-14  Guanare Portuguesa</v>
          </cell>
          <cell r="I52" t="str">
            <v>BANCAMIGA</v>
          </cell>
          <cell r="J52" t="str">
            <v>0172-0250-2925-0850-5613</v>
          </cell>
          <cell r="K52" t="str">
            <v>CORRIENTE</v>
          </cell>
          <cell r="L52">
            <v>16065</v>
          </cell>
          <cell r="M52">
            <v>2000</v>
          </cell>
          <cell r="N52">
            <v>285.71428571428572</v>
          </cell>
          <cell r="O52">
            <v>35.714285714285715</v>
          </cell>
          <cell r="P52">
            <v>95.228571428571428</v>
          </cell>
          <cell r="Q52">
            <v>5</v>
          </cell>
          <cell r="R52">
            <v>1428.5714285714287</v>
          </cell>
          <cell r="S52">
            <v>2</v>
          </cell>
          <cell r="T52">
            <v>571.42857142857144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B52">
            <v>0</v>
          </cell>
          <cell r="AC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2000</v>
          </cell>
          <cell r="AI52">
            <v>1</v>
          </cell>
          <cell r="AJ52">
            <v>6</v>
          </cell>
          <cell r="AK52">
            <v>0.75</v>
          </cell>
          <cell r="AM52">
            <v>20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S52">
            <v>26.75</v>
          </cell>
          <cell r="AT52">
            <v>1973.25</v>
          </cell>
          <cell r="AW52" t="str">
            <v>FARMACIA LOS LLANOS DE OSPINO C.A</v>
          </cell>
        </row>
        <row r="53">
          <cell r="B53" t="str">
            <v>LEIDY GUANDA</v>
          </cell>
          <cell r="C53">
            <v>13534905</v>
          </cell>
          <cell r="D53">
            <v>45971</v>
          </cell>
          <cell r="E53" t="str">
            <v>CAJERO (A)</v>
          </cell>
          <cell r="F53" t="str">
            <v>FARMACIA LOS LLANOS DE OSPINO C.A</v>
          </cell>
          <cell r="G53" t="str">
            <v xml:space="preserve">RIF- J504098116 </v>
          </cell>
          <cell r="H53" t="str">
            <v>Carrera 5 esquina calle 09, Sector Centro local 12-14  Guanare Portuguesa</v>
          </cell>
          <cell r="I53" t="str">
            <v>BANCO MERCANTIL</v>
          </cell>
          <cell r="J53" t="str">
            <v>0105-0059-1400-5945-2579</v>
          </cell>
          <cell r="K53" t="str">
            <v>AHORRO</v>
          </cell>
          <cell r="L53">
            <v>16065</v>
          </cell>
          <cell r="M53">
            <v>1400</v>
          </cell>
          <cell r="N53">
            <v>200</v>
          </cell>
          <cell r="O53">
            <v>26.666666666666668</v>
          </cell>
          <cell r="P53">
            <v>66.66</v>
          </cell>
          <cell r="Q53">
            <v>5</v>
          </cell>
          <cell r="R53">
            <v>1000</v>
          </cell>
          <cell r="S53">
            <v>2</v>
          </cell>
          <cell r="T53">
            <v>432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B53">
            <v>0</v>
          </cell>
          <cell r="AC53">
            <v>0</v>
          </cell>
          <cell r="AD53">
            <v>10</v>
          </cell>
          <cell r="AE53">
            <v>80</v>
          </cell>
          <cell r="AF53">
            <v>0</v>
          </cell>
          <cell r="AG53">
            <v>0</v>
          </cell>
          <cell r="AH53">
            <v>1512</v>
          </cell>
          <cell r="AI53">
            <v>1</v>
          </cell>
          <cell r="AJ53">
            <v>6</v>
          </cell>
          <cell r="AK53">
            <v>0.75</v>
          </cell>
          <cell r="AM53">
            <v>15.120000000000001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S53">
            <v>21.87</v>
          </cell>
          <cell r="AT53">
            <v>1490.13</v>
          </cell>
          <cell r="AW53" t="str">
            <v>FARMACIA LOS LLANOS DE OSPINO C.A</v>
          </cell>
        </row>
        <row r="54">
          <cell r="B54" t="str">
            <v>ADRISELL YULEXY YAJURE YEPEZ</v>
          </cell>
          <cell r="C54">
            <v>24935968</v>
          </cell>
          <cell r="D54">
            <v>44565</v>
          </cell>
          <cell r="E54" t="str">
            <v>GERENTE</v>
          </cell>
          <cell r="F54" t="str">
            <v xml:space="preserve"> FARMACIA SANTA CRUZ DE OSPINO C.A</v>
          </cell>
          <cell r="G54" t="str">
            <v>RIF  J-500304773</v>
          </cell>
          <cell r="H54" t="str">
            <v>Av. Libertador entre calle Cedeño y Negro Primero Local Nro 3-  Municipio Ospino Portuguesa</v>
          </cell>
          <cell r="I54" t="str">
            <v>BANCO PROVINCIAL</v>
          </cell>
          <cell r="J54" t="str">
            <v>0108-0064-1701-0045-5977</v>
          </cell>
          <cell r="K54" t="str">
            <v>CORRIENTE</v>
          </cell>
          <cell r="L54">
            <v>29452.5</v>
          </cell>
          <cell r="M54">
            <v>2500</v>
          </cell>
          <cell r="N54">
            <v>357.14285714285717</v>
          </cell>
          <cell r="O54">
            <v>47.61904761904762</v>
          </cell>
          <cell r="P54">
            <v>119.03571428571429</v>
          </cell>
          <cell r="Q54">
            <v>5</v>
          </cell>
          <cell r="R54">
            <v>1785.7142857142858</v>
          </cell>
          <cell r="S54">
            <v>2</v>
          </cell>
          <cell r="T54">
            <v>714.28571428571433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2500</v>
          </cell>
          <cell r="AI54">
            <v>1</v>
          </cell>
          <cell r="AJ54">
            <v>6</v>
          </cell>
          <cell r="AK54">
            <v>0.75</v>
          </cell>
          <cell r="AM54">
            <v>25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S54">
            <v>31.75</v>
          </cell>
          <cell r="AT54">
            <v>2468.25</v>
          </cell>
          <cell r="AW54" t="str">
            <v xml:space="preserve"> FARMACIA SANTA CRUZ DE OSPINO C.A</v>
          </cell>
        </row>
        <row r="55">
          <cell r="B55" t="str">
            <v>MARIA JOSE SILVA  NOGUERA</v>
          </cell>
          <cell r="C55">
            <v>26059254</v>
          </cell>
          <cell r="D55">
            <v>45127</v>
          </cell>
          <cell r="E55" t="str">
            <v xml:space="preserve">SUPERVISOR DE ALMACEN </v>
          </cell>
          <cell r="F55" t="str">
            <v xml:space="preserve"> FARMACIA SANTA CRUZ DE OSPINO C.A</v>
          </cell>
          <cell r="G55" t="str">
            <v>RIF  J-500304773</v>
          </cell>
          <cell r="H55" t="str">
            <v>Av. Libertador entre calle Cedeño y Negro Primero Local Nro 3-  Municipio Ospino Portuguesa</v>
          </cell>
          <cell r="I55" t="str">
            <v>BANCO PROVINCIAL</v>
          </cell>
          <cell r="J55" t="str">
            <v>0108-0064-1201-0045-5764</v>
          </cell>
          <cell r="K55" t="str">
            <v>CORRIENTE</v>
          </cell>
          <cell r="L55">
            <v>18742.5</v>
          </cell>
          <cell r="M55">
            <v>2000</v>
          </cell>
          <cell r="N55">
            <v>285.71428571428572</v>
          </cell>
          <cell r="O55">
            <v>38.095238095238095</v>
          </cell>
          <cell r="P55">
            <v>95.228571428571428</v>
          </cell>
          <cell r="Q55">
            <v>5</v>
          </cell>
          <cell r="R55">
            <v>1428.5714285714287</v>
          </cell>
          <cell r="S55">
            <v>2</v>
          </cell>
          <cell r="T55">
            <v>585.14285714285711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B55">
            <v>0</v>
          </cell>
          <cell r="AC55">
            <v>0</v>
          </cell>
          <cell r="AD55">
            <v>3</v>
          </cell>
          <cell r="AE55">
            <v>34.285714285714285</v>
          </cell>
          <cell r="AF55">
            <v>0</v>
          </cell>
          <cell r="AG55">
            <v>0</v>
          </cell>
          <cell r="AH55">
            <v>2048</v>
          </cell>
          <cell r="AI55">
            <v>1</v>
          </cell>
          <cell r="AJ55">
            <v>6</v>
          </cell>
          <cell r="AK55">
            <v>0.75</v>
          </cell>
          <cell r="AM55">
            <v>20.48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S55">
            <v>27.23</v>
          </cell>
          <cell r="AT55">
            <v>2020.77</v>
          </cell>
          <cell r="AW55" t="str">
            <v xml:space="preserve"> FARMACIA SANTA CRUZ DE OSPINO C.A</v>
          </cell>
        </row>
        <row r="56">
          <cell r="B56" t="str">
            <v>RENE ALEXANDER BLANCO JIMENEZ</v>
          </cell>
          <cell r="C56">
            <v>25761830</v>
          </cell>
          <cell r="D56">
            <v>45936</v>
          </cell>
          <cell r="E56" t="str">
            <v>COORD. ADMINISTRATIVO</v>
          </cell>
          <cell r="F56" t="str">
            <v xml:space="preserve"> FARMACIA SANTA CRUZ DE OSPINO C.A</v>
          </cell>
          <cell r="G56" t="str">
            <v>RIF  J-500304773</v>
          </cell>
          <cell r="H56" t="str">
            <v>Av. Libertador entre calle Cedeño y Negro Primero Local Nro 3-  Municipio Ospino Portuguesa</v>
          </cell>
          <cell r="I56" t="str">
            <v>BANCO VENEZUELA</v>
          </cell>
          <cell r="J56" t="str">
            <v>0102-0422-4500-0095-7755</v>
          </cell>
          <cell r="K56" t="str">
            <v>CORRIENTE</v>
          </cell>
          <cell r="L56">
            <v>24097.5</v>
          </cell>
          <cell r="M56">
            <v>2000</v>
          </cell>
          <cell r="N56">
            <v>285.71428571428572</v>
          </cell>
          <cell r="O56">
            <v>38.095238095238095</v>
          </cell>
          <cell r="P56">
            <v>95.228571428571428</v>
          </cell>
          <cell r="Q56">
            <v>5</v>
          </cell>
          <cell r="R56">
            <v>1428.5714285714287</v>
          </cell>
          <cell r="S56">
            <v>2</v>
          </cell>
          <cell r="T56">
            <v>742.85714285714289</v>
          </cell>
          <cell r="U56">
            <v>1</v>
          </cell>
          <cell r="V56">
            <v>428.57142857142856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2600</v>
          </cell>
          <cell r="AI56">
            <v>1</v>
          </cell>
          <cell r="AJ56">
            <v>6</v>
          </cell>
          <cell r="AK56">
            <v>0.75</v>
          </cell>
          <cell r="AM56">
            <v>26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S56">
            <v>32.75</v>
          </cell>
          <cell r="AT56">
            <v>2567.25</v>
          </cell>
          <cell r="AV56" t="str">
            <v>DESCANSO TRABAJADO 06/12/25</v>
          </cell>
          <cell r="AW56" t="str">
            <v xml:space="preserve"> FARMACIA SANTA CRUZ DE OSPINO C.A</v>
          </cell>
        </row>
        <row r="57">
          <cell r="B57" t="str">
            <v>YERIMAR NATACHA YANEZ</v>
          </cell>
          <cell r="C57">
            <v>33082518</v>
          </cell>
          <cell r="D57">
            <v>44662</v>
          </cell>
          <cell r="E57" t="str">
            <v>CAJERO (A)</v>
          </cell>
          <cell r="F57" t="str">
            <v xml:space="preserve"> FARMACIA SANTA CRUZ DE OSPINO C.A</v>
          </cell>
          <cell r="G57" t="str">
            <v>RIF  J-500304773</v>
          </cell>
          <cell r="H57" t="str">
            <v>Av. Libertador entre calle Cedeño y Negro Primero Local Nro 3-  Municipio Ospino Portuguesa</v>
          </cell>
          <cell r="I57" t="str">
            <v>BANCO PROVINCIAL</v>
          </cell>
          <cell r="J57" t="str">
            <v>0108-0064-1301-0045-5934</v>
          </cell>
          <cell r="K57" t="str">
            <v>CORRIENTE</v>
          </cell>
          <cell r="L57">
            <v>16065</v>
          </cell>
          <cell r="M57">
            <v>1400</v>
          </cell>
          <cell r="N57">
            <v>200</v>
          </cell>
          <cell r="O57">
            <v>26.666666666666668</v>
          </cell>
          <cell r="P57">
            <v>66.66</v>
          </cell>
          <cell r="Q57">
            <v>5</v>
          </cell>
          <cell r="R57">
            <v>1000</v>
          </cell>
          <cell r="S57">
            <v>2</v>
          </cell>
          <cell r="T57">
            <v>420.8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B57">
            <v>0</v>
          </cell>
          <cell r="AC57">
            <v>0</v>
          </cell>
          <cell r="AD57">
            <v>6.5</v>
          </cell>
          <cell r="AE57">
            <v>52</v>
          </cell>
          <cell r="AF57">
            <v>0</v>
          </cell>
          <cell r="AG57">
            <v>0</v>
          </cell>
          <cell r="AH57">
            <v>1472.8</v>
          </cell>
          <cell r="AI57">
            <v>1</v>
          </cell>
          <cell r="AJ57">
            <v>6</v>
          </cell>
          <cell r="AK57">
            <v>0.75</v>
          </cell>
          <cell r="AM57">
            <v>14.728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S57">
            <v>21.478000000000002</v>
          </cell>
          <cell r="AT57">
            <v>1451.3219999999999</v>
          </cell>
          <cell r="AW57" t="str">
            <v xml:space="preserve"> FARMACIA SANTA CRUZ DE OSPINO C.A</v>
          </cell>
        </row>
        <row r="58">
          <cell r="B58" t="str">
            <v>ROSANGEL  ANDREINA VILLANUEVA</v>
          </cell>
          <cell r="C58">
            <v>21022978</v>
          </cell>
          <cell r="D58">
            <v>45146</v>
          </cell>
          <cell r="E58" t="str">
            <v>CAJERO (A)</v>
          </cell>
          <cell r="F58" t="str">
            <v xml:space="preserve"> FARMACIA SANTA CRUZ DE OSPINO C.A</v>
          </cell>
          <cell r="G58" t="str">
            <v>RIF  J-500304773</v>
          </cell>
          <cell r="H58" t="str">
            <v>Av. Libertador entre calle Cedeño y Negro Primero Local Nro 3-  Municipio Ospino Portuguesa</v>
          </cell>
          <cell r="I58" t="str">
            <v>BANCO PROVINCIAL</v>
          </cell>
          <cell r="J58" t="str">
            <v>0108-0064-1501-0045-5950</v>
          </cell>
          <cell r="K58" t="str">
            <v>CORRIENTE</v>
          </cell>
          <cell r="L58">
            <v>16065</v>
          </cell>
          <cell r="M58">
            <v>1400</v>
          </cell>
          <cell r="N58">
            <v>200</v>
          </cell>
          <cell r="O58">
            <v>26.666666666666668</v>
          </cell>
          <cell r="P58">
            <v>66.66</v>
          </cell>
          <cell r="Q58">
            <v>5</v>
          </cell>
          <cell r="R58">
            <v>1000</v>
          </cell>
          <cell r="S58">
            <v>2</v>
          </cell>
          <cell r="T58">
            <v>404.8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B58">
            <v>0</v>
          </cell>
          <cell r="AC58">
            <v>0</v>
          </cell>
          <cell r="AD58">
            <v>1.5</v>
          </cell>
          <cell r="AE58">
            <v>12</v>
          </cell>
          <cell r="AF58">
            <v>0</v>
          </cell>
          <cell r="AG58">
            <v>0</v>
          </cell>
          <cell r="AH58">
            <v>1416.8</v>
          </cell>
          <cell r="AI58">
            <v>1</v>
          </cell>
          <cell r="AJ58">
            <v>6</v>
          </cell>
          <cell r="AK58">
            <v>0.75</v>
          </cell>
          <cell r="AM58">
            <v>14.167999999999999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S58">
            <v>20.917999999999999</v>
          </cell>
          <cell r="AT58">
            <v>1395.8820000000001</v>
          </cell>
          <cell r="AW58" t="str">
            <v xml:space="preserve"> FARMACIA SANTA CRUZ DE OSPINO C.A</v>
          </cell>
        </row>
        <row r="59">
          <cell r="B59" t="str">
            <v>SIRIO JOSE GONZALEZ YUSTIZ</v>
          </cell>
          <cell r="C59">
            <v>14347620</v>
          </cell>
          <cell r="D59">
            <v>45293</v>
          </cell>
          <cell r="E59" t="str">
            <v>SERVICIOS GENERALES</v>
          </cell>
          <cell r="F59" t="str">
            <v xml:space="preserve"> FARMACIA SANTA CRUZ DE OSPINO C.A</v>
          </cell>
          <cell r="G59" t="str">
            <v>RIF  J-500304773</v>
          </cell>
          <cell r="H59" t="str">
            <v>Av. Libertador entre calle Cedeño y Negro Primero Local Nro 3-  Municipio Ospino Portuguesa</v>
          </cell>
          <cell r="I59" t="str">
            <v>BANCO BICENTENARIO</v>
          </cell>
          <cell r="J59" t="str">
            <v>0175-0058-9400-7179-0107</v>
          </cell>
          <cell r="K59" t="str">
            <v>CORRIENTE</v>
          </cell>
          <cell r="L59">
            <v>18742.5</v>
          </cell>
          <cell r="M59">
            <v>1400</v>
          </cell>
          <cell r="N59">
            <v>200</v>
          </cell>
          <cell r="O59">
            <v>25</v>
          </cell>
          <cell r="P59">
            <v>66.66</v>
          </cell>
          <cell r="Q59">
            <v>5</v>
          </cell>
          <cell r="R59">
            <v>1000</v>
          </cell>
          <cell r="S59">
            <v>2</v>
          </cell>
          <cell r="T59">
            <v>400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B59">
            <v>0</v>
          </cell>
          <cell r="AC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1400</v>
          </cell>
          <cell r="AI59">
            <v>1</v>
          </cell>
          <cell r="AJ59">
            <v>6</v>
          </cell>
          <cell r="AK59">
            <v>0.75</v>
          </cell>
          <cell r="AM59">
            <v>14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S59">
            <v>20.75</v>
          </cell>
          <cell r="AT59">
            <v>1379.25</v>
          </cell>
          <cell r="AW59" t="str">
            <v xml:space="preserve"> FARMACIA SANTA CRUZ DE OSPINO C.A</v>
          </cell>
        </row>
        <row r="60">
          <cell r="B60" t="str">
            <v>DEXSI YADIRA SILVA</v>
          </cell>
          <cell r="C60">
            <v>16752853</v>
          </cell>
          <cell r="D60">
            <v>45427</v>
          </cell>
          <cell r="E60" t="str">
            <v>MANTENIMIENTO</v>
          </cell>
          <cell r="F60" t="str">
            <v xml:space="preserve"> FARMACIA SANTA CRUZ DE OSPINO C.A</v>
          </cell>
          <cell r="G60" t="str">
            <v>RIF  J-500304773</v>
          </cell>
          <cell r="H60" t="str">
            <v>Av. Libertador entre calle Cedeño y Negro Primero Local Nro 3-  Municipio Ospino Portuguesa</v>
          </cell>
          <cell r="I60" t="str">
            <v>BANCO PROVINCIAL</v>
          </cell>
          <cell r="J60" t="str">
            <v>0108-0201-6201-0027-7282</v>
          </cell>
          <cell r="K60" t="str">
            <v>CORRIENTE</v>
          </cell>
          <cell r="L60">
            <v>10710</v>
          </cell>
          <cell r="M60">
            <v>1000</v>
          </cell>
          <cell r="N60">
            <v>142.85714285714286</v>
          </cell>
          <cell r="O60">
            <v>17.857142857142858</v>
          </cell>
          <cell r="P60">
            <v>47.614285714285714</v>
          </cell>
          <cell r="Q60">
            <v>5</v>
          </cell>
          <cell r="R60">
            <v>714.28571428571433</v>
          </cell>
          <cell r="S60">
            <v>2</v>
          </cell>
          <cell r="T60">
            <v>285.71428571428572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B60">
            <v>0</v>
          </cell>
          <cell r="AC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1000</v>
          </cell>
          <cell r="AI60">
            <v>1</v>
          </cell>
          <cell r="AJ60">
            <v>6</v>
          </cell>
          <cell r="AK60">
            <v>0.75</v>
          </cell>
          <cell r="AM60">
            <v>10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S60">
            <v>16.75</v>
          </cell>
          <cell r="AT60">
            <v>983.25</v>
          </cell>
          <cell r="AW60" t="str">
            <v xml:space="preserve"> FARMACIA SANTA CRUZ DE OSPINO C.A</v>
          </cell>
        </row>
        <row r="61">
          <cell r="B61" t="str">
            <v>JOSE DANIEL LOVERA MONTES</v>
          </cell>
          <cell r="C61">
            <v>25761760</v>
          </cell>
          <cell r="D61">
            <v>45552</v>
          </cell>
          <cell r="E61" t="str">
            <v>CAJERO (A)</v>
          </cell>
          <cell r="F61" t="str">
            <v xml:space="preserve"> FARMACIA SANTA CRUZ DE OSPINO C.A</v>
          </cell>
          <cell r="G61" t="str">
            <v>RIF  J-500304773</v>
          </cell>
          <cell r="H61" t="str">
            <v>Av. Libertador entre calle Cedeño y Negro Primero Local Nro 3-  Municipio Ospino Portuguesa</v>
          </cell>
          <cell r="I61" t="str">
            <v>BANCO PROVINCIAL</v>
          </cell>
          <cell r="J61" t="str">
            <v>0108-0201-6001-0027-7339</v>
          </cell>
          <cell r="K61" t="str">
            <v>CORRIENTE</v>
          </cell>
          <cell r="L61">
            <v>16065</v>
          </cell>
          <cell r="M61">
            <v>1400</v>
          </cell>
          <cell r="N61">
            <v>200</v>
          </cell>
          <cell r="O61">
            <v>26.666666666666668</v>
          </cell>
          <cell r="P61">
            <v>66.66</v>
          </cell>
          <cell r="Q61">
            <v>5</v>
          </cell>
          <cell r="R61">
            <v>1000</v>
          </cell>
          <cell r="S61">
            <v>2</v>
          </cell>
          <cell r="T61">
            <v>417.6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B61">
            <v>0</v>
          </cell>
          <cell r="AC61">
            <v>0</v>
          </cell>
          <cell r="AD61">
            <v>5.5</v>
          </cell>
          <cell r="AE61">
            <v>44.000000000000007</v>
          </cell>
          <cell r="AF61">
            <v>0</v>
          </cell>
          <cell r="AG61">
            <v>0</v>
          </cell>
          <cell r="AH61">
            <v>1461.6</v>
          </cell>
          <cell r="AI61">
            <v>1</v>
          </cell>
          <cell r="AJ61">
            <v>6</v>
          </cell>
          <cell r="AK61">
            <v>0.75</v>
          </cell>
          <cell r="AM61">
            <v>14.616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S61">
            <v>0</v>
          </cell>
          <cell r="AT61">
            <v>1461.6</v>
          </cell>
          <cell r="AW61" t="str">
            <v xml:space="preserve"> FARMACIA SANTA CRUZ DE OSPINO C.A</v>
          </cell>
        </row>
        <row r="62">
          <cell r="B62" t="str">
            <v>MARIANELA ROMERO</v>
          </cell>
          <cell r="C62">
            <v>10724647</v>
          </cell>
          <cell r="D62">
            <v>45474</v>
          </cell>
          <cell r="E62" t="str">
            <v>FARMACEUTICO</v>
          </cell>
          <cell r="F62" t="str">
            <v xml:space="preserve"> FARMACIA SANTA CRUZ DE OSPINO C.A</v>
          </cell>
          <cell r="G62" t="str">
            <v>RIF  J-500304773</v>
          </cell>
          <cell r="H62" t="str">
            <v>Av. Libertador entre calle Cedeño y Negro Primero Local Nro 3-  Municipio Ospino Portuguesa</v>
          </cell>
          <cell r="L62">
            <v>33468.75</v>
          </cell>
          <cell r="M62">
            <v>8367.1875</v>
          </cell>
          <cell r="N62">
            <v>4781.25</v>
          </cell>
          <cell r="O62">
            <v>597.65625</v>
          </cell>
          <cell r="P62">
            <v>1593.5906249999998</v>
          </cell>
          <cell r="Q62">
            <v>5</v>
          </cell>
          <cell r="R62">
            <v>23906.25</v>
          </cell>
          <cell r="S62">
            <v>2</v>
          </cell>
          <cell r="T62">
            <v>9562.5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B62">
            <v>0</v>
          </cell>
          <cell r="AC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33468.75</v>
          </cell>
          <cell r="AI62">
            <v>1</v>
          </cell>
          <cell r="AJ62">
            <v>6</v>
          </cell>
          <cell r="AK62">
            <v>0.75</v>
          </cell>
          <cell r="AM62">
            <v>334.6875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S62">
            <v>341.4375</v>
          </cell>
          <cell r="AT62">
            <v>33127.3125</v>
          </cell>
          <cell r="AW62" t="str">
            <v>FARMACIA SANTA CRUZ</v>
          </cell>
        </row>
        <row r="63">
          <cell r="B63" t="str">
            <v>MARIA FERNANDA PEREZ</v>
          </cell>
          <cell r="C63">
            <v>24340635</v>
          </cell>
          <cell r="D63">
            <v>45573</v>
          </cell>
          <cell r="E63" t="str">
            <v>CAJERO (A)</v>
          </cell>
          <cell r="F63" t="str">
            <v xml:space="preserve"> FARMACIA SANTA CRUZ DE OSPINO C.A</v>
          </cell>
          <cell r="G63" t="str">
            <v>RIF  J-500304773</v>
          </cell>
          <cell r="H63" t="str">
            <v>Av. Libertador entre calle Cedeño y Negro Primero Local Nro 3-  Municipio Ospino Portuguesa</v>
          </cell>
          <cell r="I63" t="str">
            <v>BANCO PROVINCIAL</v>
          </cell>
          <cell r="J63" t="str">
            <v>0108-0201-6901-0027-7320</v>
          </cell>
          <cell r="K63" t="str">
            <v>CORRIENTE</v>
          </cell>
          <cell r="L63">
            <v>16065</v>
          </cell>
          <cell r="M63">
            <v>1400</v>
          </cell>
          <cell r="N63">
            <v>200</v>
          </cell>
          <cell r="O63">
            <v>26.666666666666668</v>
          </cell>
          <cell r="P63">
            <v>66.66</v>
          </cell>
          <cell r="Q63">
            <v>5</v>
          </cell>
          <cell r="R63">
            <v>1000</v>
          </cell>
          <cell r="S63">
            <v>2</v>
          </cell>
          <cell r="T63">
            <v>409.6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B63">
            <v>0</v>
          </cell>
          <cell r="AC63">
            <v>0</v>
          </cell>
          <cell r="AD63">
            <v>3</v>
          </cell>
          <cell r="AE63">
            <v>24</v>
          </cell>
          <cell r="AF63">
            <v>0</v>
          </cell>
          <cell r="AG63">
            <v>0</v>
          </cell>
          <cell r="AH63">
            <v>1433.6</v>
          </cell>
          <cell r="AI63">
            <v>1</v>
          </cell>
          <cell r="AJ63">
            <v>6</v>
          </cell>
          <cell r="AK63">
            <v>0.75</v>
          </cell>
          <cell r="AM63">
            <v>14.335999999999999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S63">
            <v>21.085999999999999</v>
          </cell>
          <cell r="AT63">
            <v>1412.5139999999999</v>
          </cell>
          <cell r="AW63" t="str">
            <v xml:space="preserve"> FARMACIA SANTA CRUZ DE OSPINO C.A</v>
          </cell>
        </row>
        <row r="64">
          <cell r="B64" t="str">
            <v>KATHERINE PEREZ PARADA</v>
          </cell>
          <cell r="C64">
            <v>21135632</v>
          </cell>
          <cell r="D64">
            <v>44805</v>
          </cell>
          <cell r="E64" t="str">
            <v>DIRECTIVO</v>
          </cell>
          <cell r="F64" t="str">
            <v>CORPORATIVO</v>
          </cell>
          <cell r="G64" t="str">
            <v>RIF  J-500304773</v>
          </cell>
          <cell r="H64" t="str">
            <v>Av. Libertador entre calle Cedeño y Negro Primero Local Nro 3-  Municipio Ospino Portuguesa</v>
          </cell>
          <cell r="I64" t="str">
            <v>BANCO VENEZUELA</v>
          </cell>
          <cell r="J64" t="str">
            <v>0102-0858-1000-0009-5604</v>
          </cell>
          <cell r="K64" t="str">
            <v>GLOBAL</v>
          </cell>
          <cell r="L64">
            <v>45517.5</v>
          </cell>
          <cell r="M64">
            <v>3000</v>
          </cell>
          <cell r="N64">
            <v>428.57142857142856</v>
          </cell>
          <cell r="O64">
            <v>53.571428571428569</v>
          </cell>
          <cell r="P64">
            <v>142.84285714285713</v>
          </cell>
          <cell r="Q64">
            <v>5</v>
          </cell>
          <cell r="R64">
            <v>2142.8571428571427</v>
          </cell>
          <cell r="S64">
            <v>2</v>
          </cell>
          <cell r="T64">
            <v>857.14285714285711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B64">
            <v>0</v>
          </cell>
          <cell r="AC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3000</v>
          </cell>
          <cell r="AI64">
            <v>1</v>
          </cell>
          <cell r="AJ64">
            <v>6</v>
          </cell>
          <cell r="AK64">
            <v>0.75</v>
          </cell>
          <cell r="AM64">
            <v>30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S64">
            <v>36.75</v>
          </cell>
          <cell r="AT64">
            <v>2963.25</v>
          </cell>
          <cell r="AW64" t="str">
            <v xml:space="preserve"> FARMACIA SANTA CRUZ DE OSPINO C.A</v>
          </cell>
        </row>
        <row r="65">
          <cell r="B65" t="str">
            <v>GLORIA ANDREINA PEREIRA</v>
          </cell>
          <cell r="C65">
            <v>15798914</v>
          </cell>
          <cell r="D65">
            <v>45978</v>
          </cell>
          <cell r="E65" t="str">
            <v>CAJERO (A)</v>
          </cell>
          <cell r="F65" t="str">
            <v xml:space="preserve"> FARMACIA SANTA CRUZ DE OSPINO C.A</v>
          </cell>
          <cell r="G65" t="str">
            <v>RIF  J-500304773</v>
          </cell>
          <cell r="H65" t="str">
            <v>Av. Libertador entre calle Cedeño y Negro Primero Local Nro 3-  Municipio Ospino Portuguesa</v>
          </cell>
          <cell r="L65">
            <v>13387.5</v>
          </cell>
          <cell r="M65">
            <v>1400</v>
          </cell>
          <cell r="N65">
            <v>200</v>
          </cell>
          <cell r="O65">
            <v>25</v>
          </cell>
          <cell r="P65">
            <v>66.66</v>
          </cell>
          <cell r="Q65">
            <v>5</v>
          </cell>
          <cell r="R65">
            <v>1000</v>
          </cell>
          <cell r="S65">
            <v>2</v>
          </cell>
          <cell r="T65">
            <v>400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B65">
            <v>0</v>
          </cell>
          <cell r="AC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1400</v>
          </cell>
          <cell r="AI65">
            <v>1</v>
          </cell>
          <cell r="AJ65">
            <v>6</v>
          </cell>
          <cell r="AK65">
            <v>0.75</v>
          </cell>
          <cell r="AM65">
            <v>14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S65">
            <v>20.75</v>
          </cell>
          <cell r="AT65">
            <v>1379.25</v>
          </cell>
          <cell r="AW65" t="str">
            <v xml:space="preserve"> FARMACIA SANTA CRUZ DE OSPINO C.A</v>
          </cell>
        </row>
        <row r="66">
          <cell r="B66" t="str">
            <v>MARIA CAROLINA ESCALONA</v>
          </cell>
          <cell r="C66">
            <v>29919357</v>
          </cell>
          <cell r="D66">
            <v>45978</v>
          </cell>
          <cell r="E66" t="str">
            <v>AUX. DE ALMACEN</v>
          </cell>
          <cell r="F66" t="str">
            <v xml:space="preserve"> FARMACIA SANTA CRUZ DE OSPINO C.A</v>
          </cell>
          <cell r="G66" t="str">
            <v>RIF  J-500304773</v>
          </cell>
          <cell r="H66" t="str">
            <v>Av. Libertador entre calle Cedeño y Negro Primero Local Nro 3-  Municipio Ospino Portuguesa</v>
          </cell>
          <cell r="L66">
            <v>10710</v>
          </cell>
          <cell r="M66">
            <v>1400</v>
          </cell>
          <cell r="N66">
            <v>200</v>
          </cell>
          <cell r="O66">
            <v>25</v>
          </cell>
          <cell r="P66">
            <v>66.66</v>
          </cell>
          <cell r="Q66">
            <v>5</v>
          </cell>
          <cell r="R66">
            <v>1000</v>
          </cell>
          <cell r="S66">
            <v>2</v>
          </cell>
          <cell r="T66">
            <v>400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B66">
            <v>0</v>
          </cell>
          <cell r="AC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1400</v>
          </cell>
          <cell r="AI66">
            <v>1</v>
          </cell>
          <cell r="AJ66">
            <v>6</v>
          </cell>
          <cell r="AK66">
            <v>0.75</v>
          </cell>
          <cell r="AM66">
            <v>14</v>
          </cell>
          <cell r="AN66">
            <v>2</v>
          </cell>
          <cell r="AO66">
            <v>400</v>
          </cell>
          <cell r="AP66">
            <v>0</v>
          </cell>
          <cell r="AQ66">
            <v>0</v>
          </cell>
          <cell r="AS66">
            <v>420.75</v>
          </cell>
          <cell r="AT66">
            <v>979.25</v>
          </cell>
          <cell r="AV66" t="str">
            <v>3 DIAS DE PERMISO POR ACTO DE GRADO. 08,09 Y 10-12-2025 / SE REMUNERA EL 10-12-25</v>
          </cell>
          <cell r="AW66" t="str">
            <v xml:space="preserve"> FARMACIA SANTA CRUZ DE OSPINO C.A</v>
          </cell>
        </row>
        <row r="67">
          <cell r="B67" t="str">
            <v xml:space="preserve">ELIANYIK PERALTA RIVERO </v>
          </cell>
          <cell r="C67">
            <v>27898981</v>
          </cell>
          <cell r="D67">
            <v>45846</v>
          </cell>
          <cell r="E67" t="str">
            <v>AUX. DE ALMACEN</v>
          </cell>
          <cell r="F67" t="str">
            <v xml:space="preserve"> FARMACIA SANTA CRUZ DE OSPINO C.A</v>
          </cell>
          <cell r="G67" t="str">
            <v>RIF  J-500304773</v>
          </cell>
          <cell r="H67" t="str">
            <v>Av. Libertador entre calle Cedeño y Negro Primero Local Nro 3-  Municipio Ospino Portuguesa</v>
          </cell>
          <cell r="I67" t="str">
            <v>BANCO VENEZUELA</v>
          </cell>
          <cell r="J67" t="str">
            <v>0102-0286-82-00-00456586</v>
          </cell>
          <cell r="K67" t="str">
            <v>CORRIENTE</v>
          </cell>
          <cell r="L67">
            <v>13387.5</v>
          </cell>
          <cell r="M67">
            <v>1400</v>
          </cell>
          <cell r="N67">
            <v>200</v>
          </cell>
          <cell r="O67">
            <v>26.666666666666668</v>
          </cell>
          <cell r="P67">
            <v>66.66</v>
          </cell>
          <cell r="Q67">
            <v>5</v>
          </cell>
          <cell r="R67">
            <v>1000</v>
          </cell>
          <cell r="S67">
            <v>2</v>
          </cell>
          <cell r="T67">
            <v>400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1400</v>
          </cell>
          <cell r="AI67">
            <v>1</v>
          </cell>
          <cell r="AJ67">
            <v>6</v>
          </cell>
          <cell r="AK67">
            <v>0.75</v>
          </cell>
          <cell r="AM67">
            <v>14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S67">
            <v>20.75</v>
          </cell>
          <cell r="AT67">
            <v>1379.25</v>
          </cell>
          <cell r="AW67" t="str">
            <v xml:space="preserve"> FARMACIA SANTA CRUZ DE OSPINO C.A</v>
          </cell>
        </row>
        <row r="68">
          <cell r="B68" t="str">
            <v xml:space="preserve">SOL MAR LINAREZ </v>
          </cell>
          <cell r="C68">
            <v>14178811</v>
          </cell>
          <cell r="D68">
            <v>45848</v>
          </cell>
          <cell r="E68" t="str">
            <v>CAJERO (A)</v>
          </cell>
          <cell r="F68" t="str">
            <v xml:space="preserve"> FARMACIA SANTA CRUZ DE OSPINO C.A</v>
          </cell>
          <cell r="G68" t="str">
            <v>RIF  J-500304773</v>
          </cell>
          <cell r="H68" t="str">
            <v>Av. Libertador entre calle Cedeño y Negro Primero Local Nro 3-  Municipio Ospino Portuguesa</v>
          </cell>
          <cell r="I68" t="str">
            <v>BANCO VENEZUELA</v>
          </cell>
          <cell r="J68" t="str">
            <v>01020346520000733403</v>
          </cell>
          <cell r="K68" t="str">
            <v>CORRIENTE</v>
          </cell>
          <cell r="L68">
            <v>16065</v>
          </cell>
          <cell r="M68">
            <v>1400</v>
          </cell>
          <cell r="N68">
            <v>200</v>
          </cell>
          <cell r="O68">
            <v>25</v>
          </cell>
          <cell r="P68">
            <v>66.66</v>
          </cell>
          <cell r="Q68">
            <v>5</v>
          </cell>
          <cell r="R68">
            <v>1000</v>
          </cell>
          <cell r="S68">
            <v>2</v>
          </cell>
          <cell r="T68">
            <v>400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B68">
            <v>0</v>
          </cell>
          <cell r="AC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1400</v>
          </cell>
          <cell r="AI68">
            <v>1</v>
          </cell>
          <cell r="AJ68">
            <v>6</v>
          </cell>
          <cell r="AK68">
            <v>0.75</v>
          </cell>
          <cell r="AM68">
            <v>14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S68">
            <v>20.75</v>
          </cell>
          <cell r="AT68">
            <v>1379.25</v>
          </cell>
          <cell r="AW68" t="str">
            <v xml:space="preserve"> FARMACIA SANTA CRUZ DE OSPINO C.A</v>
          </cell>
        </row>
        <row r="69">
          <cell r="B69" t="str">
            <v>RAMONES CARMONA YONATHAN ELPIDIO</v>
          </cell>
          <cell r="C69">
            <v>31345492</v>
          </cell>
          <cell r="D69">
            <v>45908</v>
          </cell>
          <cell r="E69" t="str">
            <v>SUPERVISOR DE VENTAS</v>
          </cell>
          <cell r="F69" t="str">
            <v xml:space="preserve"> FARMACIA SANTA CRUZ DE OSPINO C.A</v>
          </cell>
          <cell r="G69" t="str">
            <v>RIF- J506412667</v>
          </cell>
          <cell r="H69" t="str">
            <v>Av. Rotaria Edif. Mamanico,local 4 sector mamanico -Acarigua  Portuguesa</v>
          </cell>
          <cell r="I69" t="str">
            <v>BANCO VENEZUELA</v>
          </cell>
          <cell r="J69" t="str">
            <v>0102-0330-9200-0130-4459</v>
          </cell>
          <cell r="K69" t="str">
            <v>CORRIENTE</v>
          </cell>
          <cell r="L69">
            <v>18742.5</v>
          </cell>
          <cell r="M69">
            <v>2000</v>
          </cell>
          <cell r="N69">
            <v>285.71428571428572</v>
          </cell>
          <cell r="O69">
            <v>38.095238095238095</v>
          </cell>
          <cell r="P69">
            <v>95.228571428571428</v>
          </cell>
          <cell r="Q69">
            <v>5</v>
          </cell>
          <cell r="R69">
            <v>1428.5714285714287</v>
          </cell>
          <cell r="S69">
            <v>2</v>
          </cell>
          <cell r="T69">
            <v>571.42857142857144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2000</v>
          </cell>
          <cell r="AI69">
            <v>1</v>
          </cell>
          <cell r="AJ69">
            <v>6</v>
          </cell>
          <cell r="AK69">
            <v>0.75</v>
          </cell>
          <cell r="AM69">
            <v>20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S69">
            <v>26.75</v>
          </cell>
          <cell r="AT69">
            <v>1973.25</v>
          </cell>
          <cell r="AW69" t="str">
            <v xml:space="preserve"> FARMACIA SANTA CRUZ DE OSPINO C.A</v>
          </cell>
        </row>
        <row r="70">
          <cell r="B70" t="str">
            <v>YORGELYS K. COHIL DOMINGUEZ</v>
          </cell>
          <cell r="C70">
            <v>24320202</v>
          </cell>
          <cell r="D70">
            <v>45659</v>
          </cell>
          <cell r="E70" t="str">
            <v>CAJERO (A)</v>
          </cell>
          <cell r="F70" t="str">
            <v>FARMACIA MAMANICO OSPINO C.A.</v>
          </cell>
          <cell r="G70" t="str">
            <v>RIF- J506412667</v>
          </cell>
          <cell r="H70" t="str">
            <v>Av. Rotaria Edif. Mamanico,local 4 sector mamanico -Acarigua  Portuguesa</v>
          </cell>
          <cell r="I70" t="str">
            <v>BANCO VENEZUELA</v>
          </cell>
          <cell r="J70" t="str">
            <v>0102-0742-8100-0027-7147</v>
          </cell>
          <cell r="K70" t="str">
            <v>CORRIENTE</v>
          </cell>
          <cell r="L70">
            <v>16065</v>
          </cell>
          <cell r="M70">
            <v>1400</v>
          </cell>
          <cell r="N70">
            <v>200</v>
          </cell>
          <cell r="O70">
            <v>26.666666666666668</v>
          </cell>
          <cell r="P70">
            <v>66.66</v>
          </cell>
          <cell r="Q70">
            <v>5</v>
          </cell>
          <cell r="R70">
            <v>1000</v>
          </cell>
          <cell r="S70">
            <v>2</v>
          </cell>
          <cell r="T70">
            <v>539.20000000000005</v>
          </cell>
          <cell r="U70">
            <v>1</v>
          </cell>
          <cell r="V70">
            <v>300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B70">
            <v>0</v>
          </cell>
          <cell r="AC70">
            <v>0</v>
          </cell>
          <cell r="AD70">
            <v>6</v>
          </cell>
          <cell r="AE70">
            <v>48</v>
          </cell>
          <cell r="AF70">
            <v>0</v>
          </cell>
          <cell r="AG70">
            <v>0</v>
          </cell>
          <cell r="AH70">
            <v>1887.2</v>
          </cell>
          <cell r="AI70">
            <v>1</v>
          </cell>
          <cell r="AJ70">
            <v>6</v>
          </cell>
          <cell r="AK70">
            <v>0.75</v>
          </cell>
          <cell r="AM70">
            <v>18.872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S70">
            <v>25.622</v>
          </cell>
          <cell r="AT70">
            <v>1861.578</v>
          </cell>
          <cell r="AV70" t="str">
            <v>DOMINGO 07/12/2025</v>
          </cell>
          <cell r="AW70" t="str">
            <v>FARMACIA MAMANICO OSPINO C.A.</v>
          </cell>
        </row>
        <row r="71">
          <cell r="B71" t="str">
            <v>JEANS CARLOS AGUIAR DEL ROSARIO</v>
          </cell>
          <cell r="C71">
            <v>19376483</v>
          </cell>
          <cell r="D71">
            <v>45659</v>
          </cell>
          <cell r="E71" t="str">
            <v>CAJERO (A)</v>
          </cell>
          <cell r="F71" t="str">
            <v>FARMACIA MAMANICO OSPINO C.A.</v>
          </cell>
          <cell r="G71" t="str">
            <v>RIF- J506412667</v>
          </cell>
          <cell r="H71" t="str">
            <v>Av. Rotaria Edif. Mamanico,local 4 sector mamanico -Acarigua  Portuguesa</v>
          </cell>
          <cell r="I71" t="str">
            <v>BANCO PROVINCIAL</v>
          </cell>
          <cell r="J71" t="str">
            <v>0108-0982-7601-0005-2687</v>
          </cell>
          <cell r="K71" t="str">
            <v>CORRIENTE</v>
          </cell>
          <cell r="L71">
            <v>16065</v>
          </cell>
          <cell r="M71">
            <v>1400</v>
          </cell>
          <cell r="N71">
            <v>200</v>
          </cell>
          <cell r="O71">
            <v>26.666666666666668</v>
          </cell>
          <cell r="P71">
            <v>66.66</v>
          </cell>
          <cell r="Q71">
            <v>5</v>
          </cell>
          <cell r="R71">
            <v>1000</v>
          </cell>
          <cell r="S71">
            <v>2</v>
          </cell>
          <cell r="T71">
            <v>406.4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B71">
            <v>0</v>
          </cell>
          <cell r="AC71">
            <v>0</v>
          </cell>
          <cell r="AD71">
            <v>2</v>
          </cell>
          <cell r="AE71">
            <v>16</v>
          </cell>
          <cell r="AF71">
            <v>0</v>
          </cell>
          <cell r="AG71">
            <v>0</v>
          </cell>
          <cell r="AH71">
            <v>1422.4</v>
          </cell>
          <cell r="AI71">
            <v>1</v>
          </cell>
          <cell r="AJ71">
            <v>6</v>
          </cell>
          <cell r="AK71">
            <v>0.75</v>
          </cell>
          <cell r="AM71">
            <v>14.224000000000002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S71">
            <v>20.974000000000004</v>
          </cell>
          <cell r="AT71">
            <v>1401.4260000000002</v>
          </cell>
          <cell r="AW71" t="str">
            <v>FARMACIA MAMANICO OSPINO C.A.</v>
          </cell>
        </row>
        <row r="72">
          <cell r="B72" t="str">
            <v>SONIA DEL C. GARCIA G.</v>
          </cell>
          <cell r="C72">
            <v>10638320</v>
          </cell>
          <cell r="D72">
            <v>45659</v>
          </cell>
          <cell r="E72" t="str">
            <v>CAJERO (A)</v>
          </cell>
          <cell r="F72" t="str">
            <v>FARMACIA MAMANICO OSPINO C.A.</v>
          </cell>
          <cell r="G72" t="str">
            <v>RIF- J506412667</v>
          </cell>
          <cell r="H72" t="str">
            <v>Av. Rotaria Edif. Mamanico,local 4 sector mamanico -Acarigua  Portuguesa</v>
          </cell>
          <cell r="I72" t="str">
            <v>BANCO ACTIVO</v>
          </cell>
          <cell r="J72" t="str">
            <v>0171-0042-4160-0265-8336</v>
          </cell>
          <cell r="K72" t="str">
            <v>CORRIENTE</v>
          </cell>
          <cell r="L72">
            <v>16065</v>
          </cell>
          <cell r="M72">
            <v>1400</v>
          </cell>
          <cell r="N72">
            <v>200</v>
          </cell>
          <cell r="O72">
            <v>26.666666666666668</v>
          </cell>
          <cell r="P72">
            <v>66.66</v>
          </cell>
          <cell r="Q72">
            <v>5</v>
          </cell>
          <cell r="R72">
            <v>1000</v>
          </cell>
          <cell r="S72">
            <v>2</v>
          </cell>
          <cell r="T72">
            <v>406.4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B72">
            <v>0</v>
          </cell>
          <cell r="AC72">
            <v>0</v>
          </cell>
          <cell r="AD72">
            <v>2</v>
          </cell>
          <cell r="AE72">
            <v>16</v>
          </cell>
          <cell r="AF72">
            <v>0</v>
          </cell>
          <cell r="AG72">
            <v>0</v>
          </cell>
          <cell r="AH72">
            <v>1422.4</v>
          </cell>
          <cell r="AI72">
            <v>1</v>
          </cell>
          <cell r="AJ72">
            <v>6</v>
          </cell>
          <cell r="AK72">
            <v>0.75</v>
          </cell>
          <cell r="AM72">
            <v>14.224000000000002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S72">
            <v>20.974000000000004</v>
          </cell>
          <cell r="AT72">
            <v>1401.4260000000002</v>
          </cell>
          <cell r="AW72" t="str">
            <v>FARMACIA MAMANICO OSPINO C.A.</v>
          </cell>
        </row>
        <row r="73">
          <cell r="B73" t="str">
            <v>ESTEFANIA DILMARY ORELLANA DORANTE</v>
          </cell>
          <cell r="C73">
            <v>27277686</v>
          </cell>
          <cell r="D73">
            <v>45659</v>
          </cell>
          <cell r="E73" t="str">
            <v>GERENTE</v>
          </cell>
          <cell r="F73" t="str">
            <v>FARMACIA MAMANICO OSPINO C.A.</v>
          </cell>
          <cell r="G73" t="str">
            <v>RIF- J506412667</v>
          </cell>
          <cell r="H73" t="str">
            <v>Av. Rotaria Edif. Mamanico,local 4 sector mamanico -Acarigua  Portuguesa</v>
          </cell>
          <cell r="I73" t="str">
            <v>BANCO BANESCO</v>
          </cell>
          <cell r="J73" t="str">
            <v>0134-1037-2500-0100-9850</v>
          </cell>
          <cell r="K73" t="str">
            <v>CORRIENTE</v>
          </cell>
          <cell r="L73">
            <v>29452.5</v>
          </cell>
          <cell r="M73">
            <v>2500</v>
          </cell>
          <cell r="N73">
            <v>357.14285714285717</v>
          </cell>
          <cell r="O73">
            <v>44.642857142857146</v>
          </cell>
          <cell r="P73">
            <v>119.03571428571429</v>
          </cell>
          <cell r="Q73">
            <v>5</v>
          </cell>
          <cell r="R73">
            <v>1785.7142857142858</v>
          </cell>
          <cell r="S73">
            <v>2</v>
          </cell>
          <cell r="T73">
            <v>714.28571428571433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2500</v>
          </cell>
          <cell r="AI73">
            <v>1</v>
          </cell>
          <cell r="AJ73">
            <v>6</v>
          </cell>
          <cell r="AK73">
            <v>0.75</v>
          </cell>
          <cell r="AM73">
            <v>25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S73">
            <v>31.75</v>
          </cell>
          <cell r="AT73">
            <v>2468.25</v>
          </cell>
          <cell r="AW73" t="str">
            <v>FARMACIA MAMANICO OSPINO C.A.</v>
          </cell>
        </row>
        <row r="74">
          <cell r="B74" t="str">
            <v>KATERINE MARIANA URQUIOLA BASTIDAS</v>
          </cell>
          <cell r="C74">
            <v>23032373</v>
          </cell>
          <cell r="D74">
            <v>45733</v>
          </cell>
          <cell r="E74" t="str">
            <v>CAJERO (A)</v>
          </cell>
          <cell r="F74" t="str">
            <v>FARMACIA MAMANICO OSPINO C.A.</v>
          </cell>
          <cell r="G74" t="str">
            <v>RIF- J506412667</v>
          </cell>
          <cell r="H74" t="str">
            <v>Av. Rotaria Edif. Mamanico,local 4 sector mamanico -Acarigua  Portuguesa</v>
          </cell>
          <cell r="I74" t="str">
            <v>BANCO VENEZUELA</v>
          </cell>
          <cell r="J74" t="str">
            <v>0102-0147-1100-0016-1619</v>
          </cell>
          <cell r="K74" t="str">
            <v>CORRIENTE</v>
          </cell>
          <cell r="L74">
            <v>16065</v>
          </cell>
          <cell r="M74">
            <v>1400</v>
          </cell>
          <cell r="N74">
            <v>200</v>
          </cell>
          <cell r="O74">
            <v>26.666666666666668</v>
          </cell>
          <cell r="P74">
            <v>66.66</v>
          </cell>
          <cell r="Q74">
            <v>5</v>
          </cell>
          <cell r="R74">
            <v>1000</v>
          </cell>
          <cell r="S74">
            <v>2</v>
          </cell>
          <cell r="T74">
            <v>539.20000000000005</v>
          </cell>
          <cell r="U74">
            <v>1</v>
          </cell>
          <cell r="V74">
            <v>300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B74">
            <v>0</v>
          </cell>
          <cell r="AC74">
            <v>0</v>
          </cell>
          <cell r="AD74">
            <v>6</v>
          </cell>
          <cell r="AE74">
            <v>48</v>
          </cell>
          <cell r="AF74">
            <v>0</v>
          </cell>
          <cell r="AG74">
            <v>0</v>
          </cell>
          <cell r="AH74">
            <v>1887.2</v>
          </cell>
          <cell r="AI74">
            <v>1</v>
          </cell>
          <cell r="AJ74">
            <v>6</v>
          </cell>
          <cell r="AK74">
            <v>0.75</v>
          </cell>
          <cell r="AM74">
            <v>18.872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S74">
            <v>25.622</v>
          </cell>
          <cell r="AT74">
            <v>1861.578</v>
          </cell>
          <cell r="AW74" t="str">
            <v>FARMACIA MAMANICO OSPINO C.A.</v>
          </cell>
        </row>
        <row r="75">
          <cell r="B75" t="str">
            <v>DIONARDO MIGUEL URBINA RIVAS</v>
          </cell>
          <cell r="C75">
            <v>22988948</v>
          </cell>
          <cell r="D75">
            <v>45873</v>
          </cell>
          <cell r="E75" t="str">
            <v>CAJERO (A)</v>
          </cell>
          <cell r="F75" t="str">
            <v>FARMACIA MAMANICO OSPINO C.A.</v>
          </cell>
          <cell r="G75" t="str">
            <v>RIF- J506412667</v>
          </cell>
          <cell r="H75" t="str">
            <v>Av. Rotaria Edif. Mamanico,local 4 sector mamanico -Acarigua  Portuguesa</v>
          </cell>
          <cell r="I75" t="str">
            <v>BANCO VENEZUELA</v>
          </cell>
          <cell r="J75" t="str">
            <v>01020165920000740221</v>
          </cell>
          <cell r="K75" t="str">
            <v>CORRIENTE</v>
          </cell>
          <cell r="L75">
            <v>16065</v>
          </cell>
          <cell r="M75">
            <v>1400</v>
          </cell>
          <cell r="N75">
            <v>200</v>
          </cell>
          <cell r="O75">
            <v>26.666666666666668</v>
          </cell>
          <cell r="P75">
            <v>66.66</v>
          </cell>
          <cell r="Q75">
            <v>5</v>
          </cell>
          <cell r="R75">
            <v>1000</v>
          </cell>
          <cell r="S75">
            <v>2</v>
          </cell>
          <cell r="T75">
            <v>545.6</v>
          </cell>
          <cell r="U75">
            <v>1</v>
          </cell>
          <cell r="V75">
            <v>300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B75">
            <v>0</v>
          </cell>
          <cell r="AC75">
            <v>0</v>
          </cell>
          <cell r="AD75">
            <v>8</v>
          </cell>
          <cell r="AE75">
            <v>64</v>
          </cell>
          <cell r="AF75">
            <v>0</v>
          </cell>
          <cell r="AG75">
            <v>0</v>
          </cell>
          <cell r="AH75">
            <v>1909.6</v>
          </cell>
          <cell r="AI75">
            <v>1</v>
          </cell>
          <cell r="AJ75">
            <v>6</v>
          </cell>
          <cell r="AK75">
            <v>0.75</v>
          </cell>
          <cell r="AM75">
            <v>19.096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S75">
            <v>25.846</v>
          </cell>
          <cell r="AT75">
            <v>1883.7539999999999</v>
          </cell>
          <cell r="AW75" t="str">
            <v>FARMACIA MAMANICO OSPINO C.A.</v>
          </cell>
        </row>
        <row r="76">
          <cell r="B76" t="str">
            <v>DORIS CAMACARO</v>
          </cell>
          <cell r="C76">
            <v>10143962</v>
          </cell>
          <cell r="D76">
            <v>45659</v>
          </cell>
          <cell r="E76" t="str">
            <v>FARMACEUTICO</v>
          </cell>
          <cell r="F76" t="str">
            <v>FARMACIA MAMANICO OSPINO C.A.</v>
          </cell>
          <cell r="G76" t="str">
            <v>RIF- J506412667</v>
          </cell>
          <cell r="H76" t="str">
            <v>Av. Rotaria Edif. Mamanico,local 4 sector mamanico -Acarigua  Portuguesa</v>
          </cell>
          <cell r="I76" t="str">
            <v>BANCO MERCANTIL</v>
          </cell>
          <cell r="J76" t="str">
            <v>0105-0048-6000-4806-2901</v>
          </cell>
          <cell r="K76" t="str">
            <v>AHORRO</v>
          </cell>
          <cell r="L76">
            <v>0</v>
          </cell>
          <cell r="M76">
            <v>26775</v>
          </cell>
          <cell r="N76">
            <v>3825</v>
          </cell>
          <cell r="O76">
            <v>478.125</v>
          </cell>
          <cell r="P76">
            <v>1274.8724999999999</v>
          </cell>
          <cell r="Q76">
            <v>5</v>
          </cell>
          <cell r="R76">
            <v>19125</v>
          </cell>
          <cell r="S76">
            <v>2</v>
          </cell>
          <cell r="T76">
            <v>7650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26775</v>
          </cell>
          <cell r="AI76">
            <v>1</v>
          </cell>
          <cell r="AJ76">
            <v>6</v>
          </cell>
          <cell r="AK76">
            <v>0.75</v>
          </cell>
          <cell r="AM76">
            <v>267.75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S76">
            <v>274.5</v>
          </cell>
          <cell r="AT76">
            <v>26500.5</v>
          </cell>
          <cell r="AW76" t="str">
            <v>FARMACIA MAMANICO OSPINO C.A.</v>
          </cell>
        </row>
        <row r="77">
          <cell r="B77" t="str">
            <v>REBECA CAROLINA PERAZA DELGADO</v>
          </cell>
          <cell r="C77">
            <v>12265596</v>
          </cell>
          <cell r="D77">
            <v>45909</v>
          </cell>
          <cell r="E77" t="str">
            <v>COORD. ADMINISTRATIVO</v>
          </cell>
          <cell r="F77" t="str">
            <v>FARMACIA MAMANICO OSPINO C.A.</v>
          </cell>
          <cell r="G77" t="str">
            <v>RIF- J506412667</v>
          </cell>
          <cell r="H77" t="str">
            <v>Av. Rotaria Edif. Mamanico,local 4 sector mamanico -Acarigua  Portuguesa</v>
          </cell>
          <cell r="I77" t="str">
            <v>BANCO BANESCO</v>
          </cell>
          <cell r="J77" t="str">
            <v>0134-0866-1186-6206-1688</v>
          </cell>
          <cell r="K77" t="str">
            <v>CORRIENTE</v>
          </cell>
          <cell r="L77">
            <v>24097.5</v>
          </cell>
          <cell r="M77">
            <v>2000</v>
          </cell>
          <cell r="N77">
            <v>285.71428571428572</v>
          </cell>
          <cell r="O77">
            <v>35.714285714285715</v>
          </cell>
          <cell r="P77">
            <v>95.228571428571428</v>
          </cell>
          <cell r="Q77">
            <v>5</v>
          </cell>
          <cell r="R77">
            <v>1428.5714285714287</v>
          </cell>
          <cell r="S77">
            <v>2</v>
          </cell>
          <cell r="T77">
            <v>571.42857142857144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B77">
            <v>0</v>
          </cell>
          <cell r="AC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2000</v>
          </cell>
          <cell r="AI77">
            <v>1</v>
          </cell>
          <cell r="AJ77">
            <v>6</v>
          </cell>
          <cell r="AK77">
            <v>0.75</v>
          </cell>
          <cell r="AM77">
            <v>20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S77">
            <v>26.75</v>
          </cell>
          <cell r="AT77">
            <v>1973.25</v>
          </cell>
          <cell r="AW77" t="str">
            <v>FARMACIA MAMANICO OSPINO C.A.</v>
          </cell>
        </row>
        <row r="78">
          <cell r="B78" t="str">
            <v>ELIANNIS YANIRA MARCHAN PALACIOS</v>
          </cell>
          <cell r="C78">
            <v>15070132</v>
          </cell>
          <cell r="D78">
            <v>45908</v>
          </cell>
          <cell r="E78" t="str">
            <v>CAJERO (A)</v>
          </cell>
          <cell r="F78" t="str">
            <v>FARMACIA MAMANICO OSPINO C.A.</v>
          </cell>
          <cell r="G78" t="str">
            <v>RIF- J506412667</v>
          </cell>
          <cell r="H78" t="str">
            <v>Av. Rotaria Edif. Mamanico,local 4 sector mamanico -Acarigua  Portuguesa</v>
          </cell>
          <cell r="I78" t="str">
            <v>BANCO NACIONAL DE CREDITO</v>
          </cell>
          <cell r="J78" t="str">
            <v>0191-0063-4121-6315-0150</v>
          </cell>
          <cell r="K78" t="str">
            <v>CORRIENTE</v>
          </cell>
          <cell r="L78">
            <v>16065</v>
          </cell>
          <cell r="M78">
            <v>1400</v>
          </cell>
          <cell r="N78">
            <v>200</v>
          </cell>
          <cell r="O78">
            <v>26.666666666666668</v>
          </cell>
          <cell r="P78">
            <v>66.66</v>
          </cell>
          <cell r="Q78">
            <v>5</v>
          </cell>
          <cell r="R78">
            <v>1000</v>
          </cell>
          <cell r="S78">
            <v>2</v>
          </cell>
          <cell r="T78">
            <v>412.8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B78">
            <v>0</v>
          </cell>
          <cell r="AC78">
            <v>0</v>
          </cell>
          <cell r="AD78">
            <v>4</v>
          </cell>
          <cell r="AE78">
            <v>32</v>
          </cell>
          <cell r="AF78">
            <v>0</v>
          </cell>
          <cell r="AG78">
            <v>0</v>
          </cell>
          <cell r="AH78">
            <v>1444.8</v>
          </cell>
          <cell r="AI78">
            <v>1</v>
          </cell>
          <cell r="AJ78">
            <v>6</v>
          </cell>
          <cell r="AK78">
            <v>0.75</v>
          </cell>
          <cell r="AM78">
            <v>14.448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S78">
            <v>21.198</v>
          </cell>
          <cell r="AT78">
            <v>1423.6019999999999</v>
          </cell>
          <cell r="AW78" t="str">
            <v>FARMACIA POPULAR OSPINO C.A.</v>
          </cell>
        </row>
        <row r="79">
          <cell r="B79" t="str">
            <v xml:space="preserve">MARYELIN COROMOTO HERNANDEZ BRACHO  </v>
          </cell>
          <cell r="C79">
            <v>16414279</v>
          </cell>
          <cell r="D79">
            <v>45986</v>
          </cell>
          <cell r="E79" t="str">
            <v>CAJERO (A)</v>
          </cell>
          <cell r="F79" t="str">
            <v>FARMACIA MAMANICO OSPINO C.A.</v>
          </cell>
          <cell r="G79" t="str">
            <v>RIF- J506412667</v>
          </cell>
          <cell r="H79" t="str">
            <v>Av. Rotaria Edif. Mamanico,local 4 sector mamanico -Acarigua  Portuguesa</v>
          </cell>
          <cell r="I79" t="str">
            <v>BANCO PROVINCIAL</v>
          </cell>
          <cell r="J79" t="str">
            <v>0108-0201-65-0100264229</v>
          </cell>
          <cell r="K79" t="str">
            <v>CORRIENTE</v>
          </cell>
          <cell r="L79">
            <v>13387.5</v>
          </cell>
          <cell r="M79">
            <v>1400</v>
          </cell>
          <cell r="N79">
            <v>200</v>
          </cell>
          <cell r="O79">
            <v>26.666666666666668</v>
          </cell>
          <cell r="P79">
            <v>66.66</v>
          </cell>
          <cell r="Q79">
            <v>5</v>
          </cell>
          <cell r="R79">
            <v>1000</v>
          </cell>
          <cell r="S79">
            <v>2</v>
          </cell>
          <cell r="T79">
            <v>419.2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B79">
            <v>0</v>
          </cell>
          <cell r="AC79">
            <v>0</v>
          </cell>
          <cell r="AD79">
            <v>6</v>
          </cell>
          <cell r="AE79">
            <v>48</v>
          </cell>
          <cell r="AF79">
            <v>0</v>
          </cell>
          <cell r="AG79">
            <v>0</v>
          </cell>
          <cell r="AH79">
            <v>1467.2</v>
          </cell>
          <cell r="AI79">
            <v>1</v>
          </cell>
          <cell r="AJ79">
            <v>6</v>
          </cell>
          <cell r="AK79">
            <v>0.75</v>
          </cell>
          <cell r="AM79">
            <v>14.672000000000001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S79">
            <v>21.422000000000001</v>
          </cell>
          <cell r="AT79">
            <v>1445.778</v>
          </cell>
          <cell r="AW79" t="str">
            <v>FARMACIA POPULAR OSPINO C.A.</v>
          </cell>
        </row>
        <row r="80">
          <cell r="B80" t="str">
            <v xml:space="preserve">OLGA ROMELIA ORTEGA ZAGARRA </v>
          </cell>
          <cell r="C80">
            <v>12088699</v>
          </cell>
          <cell r="D80">
            <v>45987</v>
          </cell>
          <cell r="E80" t="str">
            <v>CAJERO (A)</v>
          </cell>
          <cell r="F80" t="str">
            <v>FARMACIA MAMANICO OSPINO C.A.</v>
          </cell>
          <cell r="G80" t="str">
            <v>RIF- J506412667</v>
          </cell>
          <cell r="H80" t="str">
            <v>Av. Rotaria Edif. Mamanico,local 4 sector mamanico -Acarigua  Portuguesa</v>
          </cell>
          <cell r="I80" t="str">
            <v>BANCO BANESCO</v>
          </cell>
          <cell r="J80" t="str">
            <v>0134-1037-24-0001010229</v>
          </cell>
          <cell r="K80" t="str">
            <v>CORRIENTE</v>
          </cell>
          <cell r="L80">
            <v>13387.5</v>
          </cell>
          <cell r="M80">
            <v>1400</v>
          </cell>
          <cell r="N80">
            <v>200</v>
          </cell>
          <cell r="O80">
            <v>26.666666666666668</v>
          </cell>
          <cell r="P80">
            <v>66.66</v>
          </cell>
          <cell r="Q80">
            <v>5</v>
          </cell>
          <cell r="R80">
            <v>1000</v>
          </cell>
          <cell r="S80">
            <v>2</v>
          </cell>
          <cell r="T80">
            <v>532.79999999999995</v>
          </cell>
          <cell r="U80">
            <v>1</v>
          </cell>
          <cell r="V80">
            <v>300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B80">
            <v>0</v>
          </cell>
          <cell r="AC80">
            <v>0</v>
          </cell>
          <cell r="AD80">
            <v>4</v>
          </cell>
          <cell r="AE80">
            <v>32</v>
          </cell>
          <cell r="AF80">
            <v>0</v>
          </cell>
          <cell r="AG80">
            <v>0</v>
          </cell>
          <cell r="AH80">
            <v>1864.8</v>
          </cell>
          <cell r="AI80">
            <v>1</v>
          </cell>
          <cell r="AJ80">
            <v>6</v>
          </cell>
          <cell r="AK80">
            <v>0.75</v>
          </cell>
          <cell r="AM80">
            <v>18.648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S80">
            <v>25.398</v>
          </cell>
          <cell r="AT80">
            <v>1839.402</v>
          </cell>
          <cell r="AW80" t="str">
            <v>FARMACIA POPULAR OSPINO C.A.</v>
          </cell>
        </row>
        <row r="81">
          <cell r="B81" t="str">
            <v>LENI MARISELA COLMENAREZ LOYO</v>
          </cell>
          <cell r="C81">
            <v>12236585</v>
          </cell>
          <cell r="D81">
            <v>45917</v>
          </cell>
          <cell r="E81" t="str">
            <v>COORD. ADMINISTRATIVO</v>
          </cell>
          <cell r="F81" t="str">
            <v>FARMACIA MAMANICO OSPINO C.A. SUCURSAL</v>
          </cell>
          <cell r="G81" t="str">
            <v>RIF- J506412667</v>
          </cell>
          <cell r="H81" t="str">
            <v>Av.Libertador con Esquina Calle Manuel Piar - Ospino  Portuguesa</v>
          </cell>
          <cell r="I81" t="str">
            <v>BANCO MERCANTIL</v>
          </cell>
          <cell r="J81" t="str">
            <v>0105-0115-65-1115177176</v>
          </cell>
          <cell r="K81" t="str">
            <v>CORRIENTE</v>
          </cell>
          <cell r="L81">
            <v>24097.5</v>
          </cell>
          <cell r="M81">
            <v>2500</v>
          </cell>
          <cell r="N81">
            <v>357.14285714285717</v>
          </cell>
          <cell r="O81">
            <v>44.642857142857146</v>
          </cell>
          <cell r="P81">
            <v>119.03571428571429</v>
          </cell>
          <cell r="Q81">
            <v>5</v>
          </cell>
          <cell r="R81">
            <v>1785.7142857142858</v>
          </cell>
          <cell r="S81">
            <v>2</v>
          </cell>
          <cell r="T81">
            <v>714.28571428571433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B81">
            <v>0</v>
          </cell>
          <cell r="AC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2500</v>
          </cell>
          <cell r="AI81">
            <v>1</v>
          </cell>
          <cell r="AJ81">
            <v>6</v>
          </cell>
          <cell r="AK81">
            <v>0.75</v>
          </cell>
          <cell r="AM81">
            <v>25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S81">
            <v>31.75</v>
          </cell>
          <cell r="AT81">
            <v>2468.25</v>
          </cell>
          <cell r="AW81" t="str">
            <v>FARMACIA POPULAR OSPINO C.A.</v>
          </cell>
        </row>
        <row r="82">
          <cell r="B82" t="str">
            <v xml:space="preserve">NELIDA YUDITH  CARRIZALEZ </v>
          </cell>
          <cell r="C82">
            <v>9255941</v>
          </cell>
          <cell r="D82">
            <v>45664</v>
          </cell>
          <cell r="E82" t="str">
            <v>CAJERO (A)</v>
          </cell>
          <cell r="F82" t="str">
            <v>FARMACIA MAMANICO OSPINO C.A. SUCURSAL</v>
          </cell>
          <cell r="G82" t="str">
            <v>RIF- J506412667</v>
          </cell>
          <cell r="H82" t="str">
            <v>Av.Libertador con Esquina Calle Manuel Piar - Ospino  Portuguesa</v>
          </cell>
          <cell r="I82" t="str">
            <v>BANCO BICENTENARIO</v>
          </cell>
          <cell r="J82" t="str">
            <v>0175-0058-99-0076823538</v>
          </cell>
          <cell r="K82" t="str">
            <v>CORRIENTE</v>
          </cell>
          <cell r="L82">
            <v>16065</v>
          </cell>
          <cell r="M82">
            <v>1400</v>
          </cell>
          <cell r="N82">
            <v>200</v>
          </cell>
          <cell r="O82">
            <v>26.666666666666668</v>
          </cell>
          <cell r="P82">
            <v>66.66</v>
          </cell>
          <cell r="Q82">
            <v>5</v>
          </cell>
          <cell r="R82">
            <v>1000</v>
          </cell>
          <cell r="S82">
            <v>2</v>
          </cell>
          <cell r="T82">
            <v>420.8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B82">
            <v>0</v>
          </cell>
          <cell r="AC82">
            <v>0</v>
          </cell>
          <cell r="AD82">
            <v>6.5</v>
          </cell>
          <cell r="AE82">
            <v>52</v>
          </cell>
          <cell r="AF82">
            <v>0</v>
          </cell>
          <cell r="AG82">
            <v>0</v>
          </cell>
          <cell r="AH82">
            <v>1472.8</v>
          </cell>
          <cell r="AI82">
            <v>1</v>
          </cell>
          <cell r="AJ82">
            <v>6</v>
          </cell>
          <cell r="AK82">
            <v>0.75</v>
          </cell>
          <cell r="AM82">
            <v>14.728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S82">
            <v>21.478000000000002</v>
          </cell>
          <cell r="AT82">
            <v>1451.3219999999999</v>
          </cell>
          <cell r="AW82" t="str">
            <v>FARMACIA POPULAR OSPINO C.A.</v>
          </cell>
        </row>
        <row r="83">
          <cell r="B83" t="str">
            <v xml:space="preserve">LEANYERLYS ALBARRAN </v>
          </cell>
          <cell r="C83">
            <v>29632098</v>
          </cell>
          <cell r="D83">
            <v>45670</v>
          </cell>
          <cell r="E83" t="str">
            <v xml:space="preserve">SUPERVISOR DE ALMACEN </v>
          </cell>
          <cell r="F83" t="str">
            <v>FARMACIA MAMANICO OSPINO C.A. SUCURSAL</v>
          </cell>
          <cell r="G83" t="str">
            <v>RIF- J506412667</v>
          </cell>
          <cell r="H83" t="str">
            <v>Av.Libertador con Esquina Calle Manuel Piar - Ospino  Portuguesa</v>
          </cell>
          <cell r="I83" t="str">
            <v>BANCO VENEZUELA</v>
          </cell>
          <cell r="J83" t="str">
            <v>0102-0330-9600-01403800</v>
          </cell>
          <cell r="K83" t="str">
            <v>CORRIENTE</v>
          </cell>
          <cell r="L83">
            <v>18742.5</v>
          </cell>
          <cell r="M83">
            <v>2000</v>
          </cell>
          <cell r="N83">
            <v>285.71428571428572</v>
          </cell>
          <cell r="O83">
            <v>38.095238095238095</v>
          </cell>
          <cell r="P83">
            <v>95.228571428571428</v>
          </cell>
          <cell r="Q83">
            <v>5</v>
          </cell>
          <cell r="R83">
            <v>1428.5714285714287</v>
          </cell>
          <cell r="S83">
            <v>2</v>
          </cell>
          <cell r="T83">
            <v>619.42857142857144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B83">
            <v>0</v>
          </cell>
          <cell r="AC83">
            <v>0</v>
          </cell>
          <cell r="AD83">
            <v>10.5</v>
          </cell>
          <cell r="AE83">
            <v>120</v>
          </cell>
          <cell r="AF83">
            <v>0</v>
          </cell>
          <cell r="AG83">
            <v>0</v>
          </cell>
          <cell r="AH83">
            <v>2168</v>
          </cell>
          <cell r="AI83">
            <v>1</v>
          </cell>
          <cell r="AJ83">
            <v>6</v>
          </cell>
          <cell r="AK83">
            <v>0.75</v>
          </cell>
          <cell r="AM83">
            <v>21.68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S83">
            <v>28.43</v>
          </cell>
          <cell r="AT83">
            <v>2139.5700000000002</v>
          </cell>
          <cell r="AW83" t="str">
            <v>FARMACIA POPULAR OSPINO C.A.</v>
          </cell>
        </row>
        <row r="84">
          <cell r="B84" t="str">
            <v xml:space="preserve">YOSIANNY M. RODRIGUEZ </v>
          </cell>
          <cell r="C84">
            <v>26151681</v>
          </cell>
          <cell r="D84">
            <v>45664</v>
          </cell>
          <cell r="E84" t="str">
            <v>CAJERO (A)</v>
          </cell>
          <cell r="F84" t="str">
            <v>FARMACIA MAMANICO OSPINO C.A. SUCURSAL</v>
          </cell>
          <cell r="G84" t="str">
            <v>RIF- J506412667</v>
          </cell>
          <cell r="H84" t="str">
            <v>Av.Libertador con Esquina Calle Manuel Piar - Ospino  Portuguesa</v>
          </cell>
          <cell r="I84" t="str">
            <v>BANCO BICENTENARIO</v>
          </cell>
          <cell r="J84" t="str">
            <v xml:space="preserve"> 0175-0058-98-0076525659</v>
          </cell>
          <cell r="K84" t="str">
            <v>CORRIENTE</v>
          </cell>
          <cell r="L84">
            <v>16065</v>
          </cell>
          <cell r="M84">
            <v>1400</v>
          </cell>
          <cell r="N84">
            <v>200</v>
          </cell>
          <cell r="O84">
            <v>26.666666666666668</v>
          </cell>
          <cell r="P84">
            <v>66.66</v>
          </cell>
          <cell r="Q84">
            <v>5</v>
          </cell>
          <cell r="R84">
            <v>1000</v>
          </cell>
          <cell r="S84">
            <v>2</v>
          </cell>
          <cell r="T84">
            <v>520</v>
          </cell>
          <cell r="U84">
            <v>1</v>
          </cell>
          <cell r="V84">
            <v>300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1820</v>
          </cell>
          <cell r="AI84">
            <v>1</v>
          </cell>
          <cell r="AJ84">
            <v>6</v>
          </cell>
          <cell r="AK84">
            <v>0.75</v>
          </cell>
          <cell r="AM84">
            <v>18.2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S84">
            <v>24.95</v>
          </cell>
          <cell r="AT84">
            <v>1795.05</v>
          </cell>
          <cell r="AV84" t="str">
            <v>DOMINGO 07/12/2025</v>
          </cell>
          <cell r="AW84" t="str">
            <v>FARMACIA POPULAR OSPINO C.A.</v>
          </cell>
        </row>
        <row r="85">
          <cell r="B85" t="str">
            <v>DULCE MILAGRO ROSENDO ORTIZ</v>
          </cell>
          <cell r="C85">
            <v>13486066</v>
          </cell>
          <cell r="D85">
            <v>45901</v>
          </cell>
          <cell r="E85" t="str">
            <v>AUX. DE ALMACEN</v>
          </cell>
          <cell r="F85" t="str">
            <v>FARMACIA MAMANICO OSPINO C.A. SUCURSAL</v>
          </cell>
          <cell r="G85" t="str">
            <v>RIF- J506412667</v>
          </cell>
          <cell r="H85" t="str">
            <v>Av.Libertador con Esquina Calle Manuel Piar - Ospino  Portuguesa</v>
          </cell>
          <cell r="I85" t="str">
            <v>BANCO PROVINCIAL</v>
          </cell>
          <cell r="J85" t="str">
            <v>0108-0064-1301-0045-5691</v>
          </cell>
          <cell r="K85" t="str">
            <v>CORRIENTE</v>
          </cell>
          <cell r="L85">
            <v>13387.5</v>
          </cell>
          <cell r="M85">
            <v>1400</v>
          </cell>
          <cell r="N85">
            <v>200</v>
          </cell>
          <cell r="O85">
            <v>26.666666666666668</v>
          </cell>
          <cell r="P85">
            <v>66.66</v>
          </cell>
          <cell r="Q85">
            <v>5</v>
          </cell>
          <cell r="R85">
            <v>1000</v>
          </cell>
          <cell r="S85">
            <v>2</v>
          </cell>
          <cell r="T85">
            <v>526.4</v>
          </cell>
          <cell r="U85">
            <v>1</v>
          </cell>
          <cell r="V85">
            <v>300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B85">
            <v>0</v>
          </cell>
          <cell r="AC85">
            <v>0</v>
          </cell>
          <cell r="AD85">
            <v>2</v>
          </cell>
          <cell r="AE85">
            <v>16</v>
          </cell>
          <cell r="AF85">
            <v>0</v>
          </cell>
          <cell r="AG85">
            <v>0</v>
          </cell>
          <cell r="AH85">
            <v>1842.4</v>
          </cell>
          <cell r="AI85">
            <v>1</v>
          </cell>
          <cell r="AJ85">
            <v>6</v>
          </cell>
          <cell r="AK85">
            <v>0.75</v>
          </cell>
          <cell r="AM85">
            <v>18.424000000000003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S85">
            <v>25.174000000000003</v>
          </cell>
          <cell r="AT85">
            <v>1817.2260000000001</v>
          </cell>
          <cell r="AV85" t="str">
            <v>DOMINGO 07/12/2025</v>
          </cell>
          <cell r="AW85" t="str">
            <v>FARMACIA POPULAR OSPINO C.A.</v>
          </cell>
        </row>
        <row r="86">
          <cell r="B86" t="str">
            <v>MARIA EUGENIA CONTRERAS COLMENAREZ</v>
          </cell>
          <cell r="C86">
            <v>23551673</v>
          </cell>
          <cell r="D86">
            <v>45936</v>
          </cell>
          <cell r="E86" t="str">
            <v>CAJERO (A)</v>
          </cell>
          <cell r="F86" t="str">
            <v>FARMACIA MAMANICO OSPINO C.A. SUCURSAL</v>
          </cell>
          <cell r="G86" t="str">
            <v>RIF- J506412667</v>
          </cell>
          <cell r="H86" t="str">
            <v>Av.Libertador con Esquina Calle Manuel Piar - Ospino  Portuguesa</v>
          </cell>
          <cell r="I86" t="str">
            <v>BANCO VENEZUELA</v>
          </cell>
          <cell r="J86" t="str">
            <v>0102-0328-7900-0026-0316</v>
          </cell>
          <cell r="K86" t="str">
            <v>CORRIENTE</v>
          </cell>
          <cell r="L86">
            <v>16065</v>
          </cell>
          <cell r="M86">
            <v>1400</v>
          </cell>
          <cell r="N86">
            <v>200</v>
          </cell>
          <cell r="O86">
            <v>26.666666666666668</v>
          </cell>
          <cell r="P86">
            <v>66.66</v>
          </cell>
          <cell r="Q86">
            <v>5</v>
          </cell>
          <cell r="R86">
            <v>1000</v>
          </cell>
          <cell r="S86">
            <v>2</v>
          </cell>
          <cell r="T86">
            <v>529.6</v>
          </cell>
          <cell r="U86">
            <v>1</v>
          </cell>
          <cell r="V86">
            <v>300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B86">
            <v>0</v>
          </cell>
          <cell r="AC86">
            <v>0</v>
          </cell>
          <cell r="AD86">
            <v>3</v>
          </cell>
          <cell r="AE86">
            <v>24</v>
          </cell>
          <cell r="AF86">
            <v>0</v>
          </cell>
          <cell r="AG86">
            <v>0</v>
          </cell>
          <cell r="AH86">
            <v>1853.6</v>
          </cell>
          <cell r="AI86">
            <v>1</v>
          </cell>
          <cell r="AJ86">
            <v>6</v>
          </cell>
          <cell r="AK86">
            <v>0.75</v>
          </cell>
          <cell r="AM86">
            <v>18.535999999999998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S86">
            <v>25.285999999999998</v>
          </cell>
          <cell r="AT86">
            <v>1828.3139999999999</v>
          </cell>
          <cell r="AV86" t="str">
            <v>DOMINGO 07/12/2025</v>
          </cell>
          <cell r="AW86" t="str">
            <v>FARMACIA POPULAR OSPINO C.A.</v>
          </cell>
        </row>
        <row r="87">
          <cell r="B87" t="str">
            <v>MANUEL ALEJANDRO VILLANUEVA</v>
          </cell>
          <cell r="C87">
            <v>18893944</v>
          </cell>
          <cell r="D87">
            <v>45936</v>
          </cell>
          <cell r="E87" t="str">
            <v>CAJERO (A)</v>
          </cell>
          <cell r="F87" t="str">
            <v>FARMACIA MAMANICO OSPINO C.A. SUCURSAL</v>
          </cell>
          <cell r="G87" t="str">
            <v>RIF- J506412667</v>
          </cell>
          <cell r="H87" t="str">
            <v>Av.Libertador con Esquina Calle Manuel Piar - Ospino  Portuguesa</v>
          </cell>
          <cell r="I87" t="str">
            <v>BANCO VENEZUELA</v>
          </cell>
          <cell r="J87" t="str">
            <v>0102-0742-8100-0005-5482</v>
          </cell>
          <cell r="K87" t="str">
            <v>CORRIENTE</v>
          </cell>
          <cell r="L87">
            <v>16065</v>
          </cell>
          <cell r="M87">
            <v>1400</v>
          </cell>
          <cell r="N87">
            <v>200</v>
          </cell>
          <cell r="O87">
            <v>26.666666666666668</v>
          </cell>
          <cell r="P87">
            <v>66.66</v>
          </cell>
          <cell r="Q87">
            <v>5</v>
          </cell>
          <cell r="R87">
            <v>1000</v>
          </cell>
          <cell r="S87">
            <v>2</v>
          </cell>
          <cell r="T87">
            <v>529.6</v>
          </cell>
          <cell r="U87">
            <v>1</v>
          </cell>
          <cell r="V87">
            <v>300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B87">
            <v>0</v>
          </cell>
          <cell r="AC87">
            <v>0</v>
          </cell>
          <cell r="AD87">
            <v>3</v>
          </cell>
          <cell r="AE87">
            <v>24</v>
          </cell>
          <cell r="AF87">
            <v>0</v>
          </cell>
          <cell r="AG87">
            <v>0</v>
          </cell>
          <cell r="AH87">
            <v>1853.6</v>
          </cell>
          <cell r="AI87">
            <v>1</v>
          </cell>
          <cell r="AJ87">
            <v>6</v>
          </cell>
          <cell r="AK87">
            <v>0.75</v>
          </cell>
          <cell r="AM87">
            <v>18.535999999999998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S87">
            <v>25.285999999999998</v>
          </cell>
          <cell r="AT87">
            <v>1828.3139999999999</v>
          </cell>
          <cell r="AV87" t="str">
            <v>DOMINGO 07/12/2025</v>
          </cell>
          <cell r="AW87" t="str">
            <v>FARMACIA POPULAR OSPINO C.A.</v>
          </cell>
        </row>
        <row r="88">
          <cell r="B88" t="str">
            <v>MARIANA VALENTINA ARELLANO BENCOMO</v>
          </cell>
          <cell r="C88">
            <v>32489512</v>
          </cell>
          <cell r="D88">
            <v>45992</v>
          </cell>
          <cell r="E88" t="str">
            <v>CAJERO (A)</v>
          </cell>
          <cell r="F88" t="str">
            <v>FARMACIA MAMANICO OSPINO C.A. SUCURSAL</v>
          </cell>
          <cell r="G88" t="str">
            <v>RIF- J506412667</v>
          </cell>
          <cell r="H88" t="str">
            <v>Av.Libertador con Esquina Calle Manuel Piar - Ospino  Portuguesa</v>
          </cell>
          <cell r="L88">
            <v>13387.5</v>
          </cell>
          <cell r="M88">
            <v>1400</v>
          </cell>
          <cell r="N88">
            <v>200</v>
          </cell>
          <cell r="O88">
            <v>26.666666666666668</v>
          </cell>
          <cell r="P88">
            <v>66.66</v>
          </cell>
          <cell r="Q88">
            <v>5</v>
          </cell>
          <cell r="R88">
            <v>1000</v>
          </cell>
          <cell r="S88">
            <v>2</v>
          </cell>
          <cell r="T88">
            <v>411.2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B88">
            <v>0</v>
          </cell>
          <cell r="AC88">
            <v>0</v>
          </cell>
          <cell r="AD88">
            <v>3.5</v>
          </cell>
          <cell r="AE88">
            <v>28.000000000000004</v>
          </cell>
          <cell r="AF88">
            <v>0</v>
          </cell>
          <cell r="AG88">
            <v>0</v>
          </cell>
          <cell r="AH88">
            <v>1439.2</v>
          </cell>
          <cell r="AI88">
            <v>1</v>
          </cell>
          <cell r="AJ88">
            <v>6</v>
          </cell>
          <cell r="AK88">
            <v>0.75</v>
          </cell>
          <cell r="AM88">
            <v>14.392000000000001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S88">
            <v>21.142000000000003</v>
          </cell>
          <cell r="AT88">
            <v>1418.058</v>
          </cell>
          <cell r="AW88" t="str">
            <v>FARMACIA POPULAR OSPINO C.A.</v>
          </cell>
        </row>
        <row r="89">
          <cell r="B89" t="str">
            <v>HAYAIMAR VANESSA MONTES LEO</v>
          </cell>
          <cell r="C89">
            <v>31812734</v>
          </cell>
          <cell r="D89">
            <v>45992</v>
          </cell>
          <cell r="E89" t="str">
            <v>CAJERO (A)</v>
          </cell>
          <cell r="F89" t="str">
            <v>FARMACIA MAMANICO OSPINO C.A. SUCURSAL</v>
          </cell>
          <cell r="G89" t="str">
            <v>RIF- J506412667</v>
          </cell>
          <cell r="H89" t="str">
            <v>Av.Libertador con Esquina Calle Manuel Piar - Ospino  Portuguesa</v>
          </cell>
          <cell r="L89">
            <v>13387.5</v>
          </cell>
          <cell r="M89">
            <v>1400</v>
          </cell>
          <cell r="N89">
            <v>200</v>
          </cell>
          <cell r="O89">
            <v>26.666666666666668</v>
          </cell>
          <cell r="P89">
            <v>66.66</v>
          </cell>
          <cell r="Q89">
            <v>5</v>
          </cell>
          <cell r="R89">
            <v>1000</v>
          </cell>
          <cell r="S89">
            <v>2</v>
          </cell>
          <cell r="T89">
            <v>412.8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B89">
            <v>0</v>
          </cell>
          <cell r="AC89">
            <v>0</v>
          </cell>
          <cell r="AD89">
            <v>4</v>
          </cell>
          <cell r="AE89">
            <v>32</v>
          </cell>
          <cell r="AF89">
            <v>0</v>
          </cell>
          <cell r="AG89">
            <v>0</v>
          </cell>
          <cell r="AH89">
            <v>1444.8</v>
          </cell>
          <cell r="AI89">
            <v>1</v>
          </cell>
          <cell r="AJ89">
            <v>6</v>
          </cell>
          <cell r="AK89">
            <v>0.75</v>
          </cell>
          <cell r="AM89">
            <v>14.448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S89">
            <v>21.198</v>
          </cell>
          <cell r="AT89">
            <v>1423.6019999999999</v>
          </cell>
          <cell r="AW89" t="str">
            <v>FARMACIA POPULAR OSPINO C.A.</v>
          </cell>
        </row>
        <row r="90">
          <cell r="B90" t="str">
            <v xml:space="preserve">MILAGROS CAROLINA BERRIOS LARA </v>
          </cell>
          <cell r="C90">
            <v>17882694</v>
          </cell>
          <cell r="D90">
            <v>45887</v>
          </cell>
          <cell r="E90" t="str">
            <v>COORD. ADMINISTRATIVO</v>
          </cell>
          <cell r="F90" t="str">
            <v xml:space="preserve">FARMACIAS PACHECO (FARPACA) C.A </v>
          </cell>
          <cell r="G90" t="str">
            <v>J304030444</v>
          </cell>
          <cell r="H90" t="str">
            <v>AV 23 DE ENERO CON AVENIDA HUGO CHAVEZ EDIF. CP VILLA SERENO PISO P/B LOCAL N° 1 GUANARE PORTUGUESA</v>
          </cell>
          <cell r="I90" t="str">
            <v>MERCANTIL</v>
          </cell>
          <cell r="J90" t="str">
            <v>01050059141059398222</v>
          </cell>
          <cell r="K90" t="str">
            <v>CORRIENTE</v>
          </cell>
          <cell r="L90">
            <v>24097.5</v>
          </cell>
          <cell r="M90">
            <v>2000</v>
          </cell>
          <cell r="N90">
            <v>285.71428571428572</v>
          </cell>
          <cell r="O90">
            <v>35.714285714285715</v>
          </cell>
          <cell r="P90">
            <v>95.228571428571428</v>
          </cell>
          <cell r="Q90">
            <v>5</v>
          </cell>
          <cell r="R90">
            <v>1428.5714285714287</v>
          </cell>
          <cell r="S90">
            <v>2</v>
          </cell>
          <cell r="T90">
            <v>571.42857142857144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B90">
            <v>0</v>
          </cell>
          <cell r="AC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2000</v>
          </cell>
          <cell r="AI90">
            <v>1</v>
          </cell>
          <cell r="AJ90">
            <v>6</v>
          </cell>
          <cell r="AK90">
            <v>0.75</v>
          </cell>
          <cell r="AM90">
            <v>20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26.75</v>
          </cell>
          <cell r="AT90">
            <v>1973.25</v>
          </cell>
          <cell r="AW90" t="str">
            <v>FARMACIA POPULAR OSPINO C.A.</v>
          </cell>
        </row>
        <row r="91">
          <cell r="B91" t="str">
            <v>ROSALIA DEL CARMEN SEGOVIA RIVERO</v>
          </cell>
          <cell r="C91">
            <v>16072175</v>
          </cell>
          <cell r="D91">
            <v>45887</v>
          </cell>
          <cell r="E91" t="str">
            <v>CAJERO (A)</v>
          </cell>
          <cell r="F91" t="str">
            <v xml:space="preserve">FARMACIAS PACHECO (FARPACA) C.A </v>
          </cell>
          <cell r="G91" t="str">
            <v>J304030444</v>
          </cell>
          <cell r="H91" t="str">
            <v>AV 23 DE ENERO CON AVENIDA HUGO CHAVEZ EDIF. CP VILLA SERENO PISO P/B LOCAL N° 1 GUANARE PORTUGUESA</v>
          </cell>
          <cell r="I91" t="str">
            <v>MERCANTIL</v>
          </cell>
          <cell r="J91" t="str">
            <v>01050290091290194149</v>
          </cell>
          <cell r="K91" t="str">
            <v>CORRIENTE</v>
          </cell>
          <cell r="L91">
            <v>16065</v>
          </cell>
          <cell r="M91">
            <v>1400</v>
          </cell>
          <cell r="N91">
            <v>200</v>
          </cell>
          <cell r="O91">
            <v>26.666666666666668</v>
          </cell>
          <cell r="P91">
            <v>66.66</v>
          </cell>
          <cell r="Q91">
            <v>5</v>
          </cell>
          <cell r="R91">
            <v>1000</v>
          </cell>
          <cell r="S91">
            <v>2</v>
          </cell>
          <cell r="T91">
            <v>409.6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B91">
            <v>0</v>
          </cell>
          <cell r="AC91">
            <v>0</v>
          </cell>
          <cell r="AD91">
            <v>3</v>
          </cell>
          <cell r="AE91">
            <v>24</v>
          </cell>
          <cell r="AF91">
            <v>0</v>
          </cell>
          <cell r="AG91">
            <v>0</v>
          </cell>
          <cell r="AH91">
            <v>1433.6</v>
          </cell>
          <cell r="AI91">
            <v>1</v>
          </cell>
          <cell r="AJ91">
            <v>6</v>
          </cell>
          <cell r="AK91">
            <v>0.75</v>
          </cell>
          <cell r="AM91">
            <v>14.335999999999999</v>
          </cell>
          <cell r="AN91">
            <v>1</v>
          </cell>
          <cell r="AO91">
            <v>200</v>
          </cell>
          <cell r="AP91">
            <v>0</v>
          </cell>
          <cell r="AQ91">
            <v>0</v>
          </cell>
          <cell r="AS91">
            <v>221.08600000000001</v>
          </cell>
          <cell r="AT91">
            <v>1212.5139999999999</v>
          </cell>
          <cell r="AV91" t="str">
            <v>PERMISO 06/12/25</v>
          </cell>
          <cell r="AW91" t="str">
            <v>FARMACIA POPULAR OSPINO C.A.</v>
          </cell>
        </row>
        <row r="92">
          <cell r="B92" t="str">
            <v>DAIR DEL CARMEN BRITO MOYETONES</v>
          </cell>
          <cell r="C92">
            <v>10726140</v>
          </cell>
          <cell r="D92">
            <v>45887</v>
          </cell>
          <cell r="E92" t="str">
            <v>CAJERO (A)</v>
          </cell>
          <cell r="F92" t="str">
            <v xml:space="preserve">FARMACIAS PACHECO (FARPACA) C.A </v>
          </cell>
          <cell r="G92" t="str">
            <v>J304030444</v>
          </cell>
          <cell r="H92" t="str">
            <v>AV 23 DE ENERO CON AVENIDA HUGO CHAVEZ EDIF. CP VILLA SERENO PISO P/B LOCAL N° 1 GUANARE PORTUGUESA</v>
          </cell>
          <cell r="I92" t="str">
            <v>MERCANTIL</v>
          </cell>
          <cell r="J92" t="str">
            <v>01050059161059352419</v>
          </cell>
          <cell r="K92" t="str">
            <v>CORRIENTE</v>
          </cell>
          <cell r="L92">
            <v>16065</v>
          </cell>
          <cell r="M92">
            <v>1400</v>
          </cell>
          <cell r="N92">
            <v>200</v>
          </cell>
          <cell r="O92">
            <v>26.666666666666668</v>
          </cell>
          <cell r="P92">
            <v>66.66</v>
          </cell>
          <cell r="Q92">
            <v>5</v>
          </cell>
          <cell r="R92">
            <v>1000</v>
          </cell>
          <cell r="S92">
            <v>2</v>
          </cell>
          <cell r="T92">
            <v>649.6</v>
          </cell>
          <cell r="U92">
            <v>2</v>
          </cell>
          <cell r="V92">
            <v>600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B92">
            <v>0</v>
          </cell>
          <cell r="AC92">
            <v>0</v>
          </cell>
          <cell r="AD92">
            <v>3</v>
          </cell>
          <cell r="AE92">
            <v>24</v>
          </cell>
          <cell r="AF92">
            <v>0</v>
          </cell>
          <cell r="AG92">
            <v>0</v>
          </cell>
          <cell r="AH92">
            <v>2273.6</v>
          </cell>
          <cell r="AI92">
            <v>1</v>
          </cell>
          <cell r="AJ92">
            <v>6</v>
          </cell>
          <cell r="AK92">
            <v>0.75</v>
          </cell>
          <cell r="AM92">
            <v>22.736000000000001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S92">
            <v>29.486000000000001</v>
          </cell>
          <cell r="AT92">
            <v>2244.114</v>
          </cell>
          <cell r="AV92" t="str">
            <v>DOMINGO 07/12/2025 Y DESCANSO TRABAJADO 06-12-2025</v>
          </cell>
          <cell r="AW92" t="str">
            <v>FARMACIA POPULAR OSPINO C.A.</v>
          </cell>
        </row>
        <row r="93">
          <cell r="B93" t="str">
            <v>RUBEN DARIO CASTELLA GARCIA</v>
          </cell>
          <cell r="C93">
            <v>12238203</v>
          </cell>
          <cell r="D93">
            <v>45887</v>
          </cell>
          <cell r="E93" t="str">
            <v>CAJERO (A)</v>
          </cell>
          <cell r="F93" t="str">
            <v xml:space="preserve">FARMACIAS PACHECO (FARPACA) C.A </v>
          </cell>
          <cell r="G93" t="str">
            <v>J304030444</v>
          </cell>
          <cell r="H93" t="str">
            <v>AV 23 DE ENERO CON AVENIDA HUGO CHAVEZ EDIF. CP VILLA SERENO PISO P/B LOCAL N° 1 GUANARE PORTUGUESA</v>
          </cell>
          <cell r="I93" t="str">
            <v>MERCANTIL</v>
          </cell>
          <cell r="J93" t="str">
            <v>01050059111059438771</v>
          </cell>
          <cell r="K93" t="str">
            <v>CORRIENTE</v>
          </cell>
          <cell r="L93">
            <v>16065</v>
          </cell>
          <cell r="M93">
            <v>1400</v>
          </cell>
          <cell r="N93">
            <v>200</v>
          </cell>
          <cell r="O93">
            <v>26.666666666666668</v>
          </cell>
          <cell r="P93">
            <v>66.66</v>
          </cell>
          <cell r="Q93">
            <v>5</v>
          </cell>
          <cell r="R93">
            <v>1000</v>
          </cell>
          <cell r="S93">
            <v>2</v>
          </cell>
          <cell r="T93">
            <v>448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B93">
            <v>0</v>
          </cell>
          <cell r="AC93">
            <v>0</v>
          </cell>
          <cell r="AD93">
            <v>15</v>
          </cell>
          <cell r="AE93">
            <v>120</v>
          </cell>
          <cell r="AF93">
            <v>0</v>
          </cell>
          <cell r="AG93">
            <v>0</v>
          </cell>
          <cell r="AH93">
            <v>1568</v>
          </cell>
          <cell r="AI93">
            <v>1</v>
          </cell>
          <cell r="AJ93">
            <v>6</v>
          </cell>
          <cell r="AK93">
            <v>0.75</v>
          </cell>
          <cell r="AM93">
            <v>15.68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S93">
            <v>22.43</v>
          </cell>
          <cell r="AT93">
            <v>1545.57</v>
          </cell>
          <cell r="AW93" t="str">
            <v>FARMACIA POPULAR OSPINO C.A.</v>
          </cell>
        </row>
        <row r="94">
          <cell r="B94" t="str">
            <v xml:space="preserve">KAREN ASLHEY FAJARDO OSTO </v>
          </cell>
          <cell r="C94">
            <v>27102918</v>
          </cell>
          <cell r="D94">
            <v>45887</v>
          </cell>
          <cell r="E94" t="str">
            <v>CAJERO (A)</v>
          </cell>
          <cell r="F94" t="str">
            <v xml:space="preserve">FARMACIAS PACHECO (FARPACA) C.A </v>
          </cell>
          <cell r="G94" t="str">
            <v>J304030444</v>
          </cell>
          <cell r="H94" t="str">
            <v>AV 23 DE ENERO CON AVENIDA HUGO CHAVEZ EDIF. CP VILLA SERENO PISO P/B LOCAL N° 1 GUANARE PORTUGUESA</v>
          </cell>
          <cell r="I94" t="str">
            <v>MERCANTIL</v>
          </cell>
          <cell r="J94" t="str">
            <v>01050059111059422697</v>
          </cell>
          <cell r="K94" t="str">
            <v>CORRIENTE</v>
          </cell>
          <cell r="L94">
            <v>16065</v>
          </cell>
          <cell r="M94">
            <v>1400</v>
          </cell>
          <cell r="N94">
            <v>200</v>
          </cell>
          <cell r="O94">
            <v>26.666666666666668</v>
          </cell>
          <cell r="P94">
            <v>66.66</v>
          </cell>
          <cell r="Q94">
            <v>5</v>
          </cell>
          <cell r="R94">
            <v>1000</v>
          </cell>
          <cell r="S94">
            <v>2</v>
          </cell>
          <cell r="T94">
            <v>539.20000000000005</v>
          </cell>
          <cell r="U94">
            <v>1</v>
          </cell>
          <cell r="V94">
            <v>300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B94">
            <v>0</v>
          </cell>
          <cell r="AC94">
            <v>0</v>
          </cell>
          <cell r="AD94">
            <v>6</v>
          </cell>
          <cell r="AE94">
            <v>48</v>
          </cell>
          <cell r="AF94">
            <v>0</v>
          </cell>
          <cell r="AG94">
            <v>0</v>
          </cell>
          <cell r="AH94">
            <v>1887.2</v>
          </cell>
          <cell r="AI94">
            <v>1</v>
          </cell>
          <cell r="AJ94">
            <v>6</v>
          </cell>
          <cell r="AK94">
            <v>0.75</v>
          </cell>
          <cell r="AM94">
            <v>18.872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S94">
            <v>25.622</v>
          </cell>
          <cell r="AT94">
            <v>1861.578</v>
          </cell>
          <cell r="AV94" t="str">
            <v>DOMINGO 07/12/2025</v>
          </cell>
          <cell r="AW94" t="str">
            <v>FARMACIA POPULAR OSPINO C.A.</v>
          </cell>
        </row>
        <row r="95">
          <cell r="B95" t="str">
            <v>TERESA DE JESUS PACHECO ARMAS</v>
          </cell>
          <cell r="C95">
            <v>4138739</v>
          </cell>
          <cell r="D95">
            <v>45887</v>
          </cell>
          <cell r="E95" t="str">
            <v>FARMACEUTICO</v>
          </cell>
          <cell r="F95" t="str">
            <v xml:space="preserve">FARMACIAS PACHECO (FARPACA) C.A </v>
          </cell>
          <cell r="G95" t="str">
            <v>J304030444</v>
          </cell>
          <cell r="H95" t="str">
            <v>AV 23 DE ENERO CON AVENIDA HUGO CHAVEZ EDIF. CP VILLA SERENO PISO P/B LOCAL N° 1 GUANARE PORTUGUESA</v>
          </cell>
          <cell r="I95" t="str">
            <v>BANCO BANCAMIGA</v>
          </cell>
          <cell r="J95" t="str">
            <v>0172-0250-2625-0837-4242</v>
          </cell>
          <cell r="K95" t="str">
            <v>CORRIENTE</v>
          </cell>
          <cell r="L95">
            <v>26775</v>
          </cell>
          <cell r="M95">
            <v>26775</v>
          </cell>
          <cell r="N95">
            <v>3825</v>
          </cell>
          <cell r="O95">
            <v>478.125</v>
          </cell>
          <cell r="P95">
            <v>1274.8724999999999</v>
          </cell>
          <cell r="Q95">
            <v>5</v>
          </cell>
          <cell r="R95">
            <v>19125</v>
          </cell>
          <cell r="S95">
            <v>2</v>
          </cell>
          <cell r="T95">
            <v>7650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B95">
            <v>0</v>
          </cell>
          <cell r="AC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26775</v>
          </cell>
          <cell r="AI95">
            <v>1</v>
          </cell>
          <cell r="AJ95">
            <v>6</v>
          </cell>
          <cell r="AK95">
            <v>0.75</v>
          </cell>
          <cell r="AM95">
            <v>267.75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S95">
            <v>274.5</v>
          </cell>
          <cell r="AT95">
            <v>26500.5</v>
          </cell>
          <cell r="AW95" t="str">
            <v>FARMACIA POPULAR OSPINO C.A.</v>
          </cell>
        </row>
        <row r="96">
          <cell r="B96" t="str">
            <v>OSWALDO RAFAEL GONZALEZ GONZALEZ</v>
          </cell>
          <cell r="C96">
            <v>12240037</v>
          </cell>
          <cell r="D96">
            <v>45999</v>
          </cell>
          <cell r="E96" t="str">
            <v>CAJERO (A)</v>
          </cell>
          <cell r="F96" t="str">
            <v xml:space="preserve">FARMACIAS PACHECO (FARPACA) C.A </v>
          </cell>
          <cell r="G96" t="str">
            <v>J304030444</v>
          </cell>
          <cell r="H96" t="str">
            <v>AV 23 DE ENERO CON AVENIDA HUGO CHAVEZ EDIF. CP VILLA SERENO PISO P/B LOCAL N° 1 GUANARE PORTUGUESA</v>
          </cell>
          <cell r="L96">
            <v>13387.5</v>
          </cell>
          <cell r="M96">
            <v>1400</v>
          </cell>
          <cell r="N96">
            <v>200</v>
          </cell>
          <cell r="O96">
            <v>26.666666666666668</v>
          </cell>
          <cell r="P96">
            <v>66.66</v>
          </cell>
          <cell r="Q96">
            <v>5</v>
          </cell>
          <cell r="R96">
            <v>1000</v>
          </cell>
          <cell r="S96">
            <v>2</v>
          </cell>
          <cell r="T96">
            <v>409.6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B96">
            <v>0</v>
          </cell>
          <cell r="AC96">
            <v>0</v>
          </cell>
          <cell r="AD96">
            <v>3</v>
          </cell>
          <cell r="AE96">
            <v>24</v>
          </cell>
          <cell r="AF96">
            <v>0</v>
          </cell>
          <cell r="AG96">
            <v>0</v>
          </cell>
          <cell r="AH96">
            <v>1433.6</v>
          </cell>
          <cell r="AI96">
            <v>1</v>
          </cell>
          <cell r="AJ96">
            <v>6</v>
          </cell>
          <cell r="AK96">
            <v>0.75</v>
          </cell>
          <cell r="AM96">
            <v>14.335999999999999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S96">
            <v>21.085999999999999</v>
          </cell>
          <cell r="AT96">
            <v>1412.5139999999999</v>
          </cell>
          <cell r="AW96" t="str">
            <v>FARMACIA POPULAR OSPINO C.A.</v>
          </cell>
        </row>
        <row r="99">
          <cell r="R99">
            <v>227822.32142857145</v>
          </cell>
          <cell r="T99">
            <v>94981.842857142852</v>
          </cell>
          <cell r="V99">
            <v>7950</v>
          </cell>
          <cell r="Z99">
            <v>1133.22</v>
          </cell>
          <cell r="AC99">
            <v>0</v>
          </cell>
          <cell r="AE99">
            <v>1482.2857142857142</v>
          </cell>
          <cell r="AF99">
            <v>0</v>
          </cell>
          <cell r="AH99">
            <v>333569.66999999987</v>
          </cell>
          <cell r="AJ99">
            <v>540</v>
          </cell>
          <cell r="AK99">
            <v>67.5</v>
          </cell>
          <cell r="AO99">
            <v>600</v>
          </cell>
          <cell r="AQ99">
            <v>200</v>
          </cell>
          <cell r="AS99">
            <v>4721.8307000000004</v>
          </cell>
          <cell r="AT99">
            <v>328847.83930000011</v>
          </cell>
          <cell r="AU99">
            <v>0</v>
          </cell>
        </row>
        <row r="101">
          <cell r="AS101" t="str">
            <v>TOTAL BS.</v>
          </cell>
          <cell r="AT101">
            <v>328847.83930000011</v>
          </cell>
        </row>
        <row r="102">
          <cell r="AS102" t="str">
            <v>TOTAL $</v>
          </cell>
          <cell r="AT102">
            <v>1228.1898760037352</v>
          </cell>
        </row>
      </sheetData>
      <sheetData sheetId="3"/>
      <sheetData sheetId="4"/>
      <sheetData sheetId="5"/>
      <sheetData sheetId="6"/>
      <sheetData sheetId="7"/>
      <sheetData sheetId="8"/>
      <sheetData sheetId="9">
        <row r="1">
          <cell r="C1" t="str">
            <v>EMPRESA</v>
          </cell>
          <cell r="D1" t="str">
            <v>RIF</v>
          </cell>
          <cell r="E1" t="str">
            <v>DIRECION</v>
          </cell>
        </row>
        <row r="2">
          <cell r="C2" t="str">
            <v xml:space="preserve">FARMACIA LOS YANEZ DE OSPINO, C.A </v>
          </cell>
          <cell r="D2" t="str">
            <v>J-500253052</v>
          </cell>
          <cell r="E2" t="str">
            <v>CARRERA 3 ESQUINA CALLE 10, BARRIO CURAZAO- MUNICIPIO GUANARE -PORTUGUESA</v>
          </cell>
        </row>
        <row r="3">
          <cell r="C3" t="str">
            <v>FARMACIA FARMANOSTRA GUANARE, C.A.</v>
          </cell>
          <cell r="D3" t="str">
            <v>J-501049831</v>
          </cell>
          <cell r="E3" t="str">
            <v>AV.  PRINCIPAL LOCAL NRO 1 BARRIO EL CAMBIO - MUNICIPIO GUANARE -PORTUGUESA</v>
          </cell>
        </row>
        <row r="4">
          <cell r="C4" t="str">
            <v>FARMACIA FARMANOSTRA GUANARE, C.A. CORPORATIVO</v>
          </cell>
          <cell r="D4" t="str">
            <v>J-501049831</v>
          </cell>
          <cell r="E4" t="str">
            <v>AV.  PRINCIPAL LOCAL NRO 1 BARRIO EL CAMBIO - MUNICIPIO GUANARE -PORTUGUESA</v>
          </cell>
        </row>
        <row r="5">
          <cell r="C5" t="str">
            <v>FARMACIA LOS LLANOS DE OSPINO C.A</v>
          </cell>
          <cell r="D5" t="str">
            <v>J-504098116</v>
          </cell>
          <cell r="E5" t="str">
            <v>CARRERA 5 ESQUINA CALLE 09, SECTOR CENTRO LOCAL 12-14 - MUNICIPIO GUANARE -PORTUGUESA</v>
          </cell>
        </row>
        <row r="6">
          <cell r="C6" t="str">
            <v xml:space="preserve"> FARMACIA SANTA CRUZ DE OSPINO C.A</v>
          </cell>
          <cell r="D6" t="str">
            <v>J-500304773</v>
          </cell>
          <cell r="E6" t="str">
            <v>AV. LIBERTADOR ENTRE CALLE CEDEÑO Y NEGRO PRIMERO LOCAL NRO 3-  MUNICIPIO OSPINO PORTUGUESA</v>
          </cell>
        </row>
        <row r="7">
          <cell r="C7" t="str">
            <v xml:space="preserve"> FARMACIA SANTA CRUZ DE OSPINO C.A CORPORATIVO</v>
          </cell>
          <cell r="D7" t="str">
            <v>J-500304773</v>
          </cell>
          <cell r="E7" t="str">
            <v>AV. LIBERTADOR ENTRE CALLE CEDEÑO Y NEGRO PRIMERO LOCAL NRO 3-  MUNICIPIO OSPINO PORTUGUESA</v>
          </cell>
        </row>
        <row r="8">
          <cell r="C8" t="str">
            <v>FARMACIA MAMANICO OSPINO C.A.</v>
          </cell>
          <cell r="D8" t="str">
            <v>J-506412667</v>
          </cell>
          <cell r="E8" t="str">
            <v>AV. ROTARIA EDIF. MAMANICO,LOCAL 4 SECTOR MAMANICO -ACARIGUA  PORTUGUESA</v>
          </cell>
        </row>
        <row r="9">
          <cell r="C9" t="str">
            <v>FARMACIA MAMANICO OSPINO C.A.-SUCURSAL</v>
          </cell>
          <cell r="D9" t="str">
            <v>J-506412667</v>
          </cell>
          <cell r="E9" t="str">
            <v>Av.Libertador con Esquina Calle Manuel Piar - Ospino  Portuguesa</v>
          </cell>
        </row>
      </sheetData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IVOS"/>
      <sheetName val="INACTIVOS"/>
      <sheetName val="YANEZ"/>
      <sheetName val="LLANOS"/>
      <sheetName val="FARMANOSTRA"/>
      <sheetName val="FARMANOSTRA CORPORATIVO"/>
      <sheetName val="DON MANUEL"/>
      <sheetName val="FARM.MAMANICO OSPINO"/>
      <sheetName val="FARM.MAMANICO SUCURSAL"/>
      <sheetName val="FARM.OSPINO"/>
      <sheetName val="SANTA CRUZ"/>
      <sheetName val="FARPACA"/>
      <sheetName val="FARMALIANZA"/>
      <sheetName val="FARM. DEL LLANO"/>
    </sheetNames>
    <sheetDataSet>
      <sheetData sheetId="0">
        <row r="7">
          <cell r="C7">
            <v>15906403</v>
          </cell>
          <cell r="D7">
            <v>45362</v>
          </cell>
          <cell r="E7" t="str">
            <v>COORD. ADMINISTRATIVO</v>
          </cell>
          <cell r="F7" t="str">
            <v xml:space="preserve">FARMACIA LOS YANEZ DE OSPINO, C.A </v>
          </cell>
          <cell r="G7" t="str">
            <v>RIF  J-500253052</v>
          </cell>
          <cell r="H7">
            <v>110</v>
          </cell>
        </row>
        <row r="8">
          <cell r="C8">
            <v>30329814</v>
          </cell>
          <cell r="D8">
            <v>45136</v>
          </cell>
          <cell r="E8" t="str">
            <v>AUX. DE ALMACEN</v>
          </cell>
          <cell r="F8" t="str">
            <v xml:space="preserve">FARMACIA LOS YANEZ DE OSPINO, C.A </v>
          </cell>
          <cell r="G8" t="str">
            <v>RIF  J-500253052</v>
          </cell>
          <cell r="H8">
            <v>50</v>
          </cell>
        </row>
        <row r="9">
          <cell r="C9">
            <v>31272373</v>
          </cell>
          <cell r="D9">
            <v>44998</v>
          </cell>
          <cell r="E9" t="str">
            <v>AUX. DE ALMACEN</v>
          </cell>
          <cell r="F9" t="str">
            <v xml:space="preserve">FARMACIA LOS YANEZ DE OSPINO, C.A </v>
          </cell>
          <cell r="G9" t="str">
            <v>RIF  J-500253052</v>
          </cell>
          <cell r="H9">
            <v>50</v>
          </cell>
        </row>
        <row r="10">
          <cell r="C10">
            <v>19031701</v>
          </cell>
          <cell r="D10">
            <v>45474</v>
          </cell>
          <cell r="E10" t="str">
            <v>AUX. DE ALMACEN</v>
          </cell>
          <cell r="F10" t="str">
            <v xml:space="preserve">FARMACIA LOS YANEZ DE OSPINO, C.A </v>
          </cell>
          <cell r="G10" t="str">
            <v>RIF  J-500253052</v>
          </cell>
          <cell r="H10">
            <v>50</v>
          </cell>
        </row>
        <row r="11">
          <cell r="C11">
            <v>12647713</v>
          </cell>
          <cell r="D11">
            <v>45079</v>
          </cell>
          <cell r="E11" t="str">
            <v>SUPERVISOR DE VENTAS</v>
          </cell>
          <cell r="F11" t="str">
            <v xml:space="preserve">FARMACIA LOS YANEZ DE OSPINO, C.A </v>
          </cell>
          <cell r="G11" t="str">
            <v>RIF  J-500253052</v>
          </cell>
          <cell r="H11">
            <v>70</v>
          </cell>
        </row>
        <row r="12">
          <cell r="C12">
            <v>13329198</v>
          </cell>
          <cell r="D12">
            <v>45378</v>
          </cell>
          <cell r="E12" t="str">
            <v>CAJERO (A)</v>
          </cell>
          <cell r="F12" t="str">
            <v xml:space="preserve">FARMACIA LOS YANEZ DE OSPINO, C.A </v>
          </cell>
          <cell r="G12" t="str">
            <v>RIF  J-500253052</v>
          </cell>
          <cell r="H12">
            <v>60</v>
          </cell>
        </row>
        <row r="13">
          <cell r="C13">
            <v>27938750</v>
          </cell>
          <cell r="D13">
            <v>45474</v>
          </cell>
          <cell r="E13" t="str">
            <v>CAJERO (A)</v>
          </cell>
          <cell r="F13" t="str">
            <v xml:space="preserve">FARMACIA LOS YANEZ DE OSPINO, C.A </v>
          </cell>
          <cell r="G13" t="str">
            <v>RIF  J-500253052</v>
          </cell>
          <cell r="H13">
            <v>60</v>
          </cell>
        </row>
        <row r="14">
          <cell r="C14">
            <v>25016178</v>
          </cell>
          <cell r="D14">
            <v>45691</v>
          </cell>
          <cell r="E14" t="str">
            <v>CAJERO (A)</v>
          </cell>
          <cell r="F14" t="str">
            <v xml:space="preserve">FARMACIA LOS YANEZ DE OSPINO, C.A </v>
          </cell>
          <cell r="G14" t="str">
            <v>RIF  J-500253052</v>
          </cell>
          <cell r="H14">
            <v>60</v>
          </cell>
        </row>
        <row r="15">
          <cell r="C15">
            <v>28427378</v>
          </cell>
          <cell r="D15">
            <v>45708</v>
          </cell>
          <cell r="E15" t="str">
            <v xml:space="preserve">SUPERVISOR DE ALMACEN </v>
          </cell>
          <cell r="F15" t="str">
            <v xml:space="preserve">FARMACIA LOS YANEZ DE OSPINO, C.A </v>
          </cell>
          <cell r="G15" t="str">
            <v>RIF  J-500253052</v>
          </cell>
          <cell r="H15">
            <v>70</v>
          </cell>
        </row>
        <row r="16">
          <cell r="C16">
            <v>29632132</v>
          </cell>
          <cell r="D16">
            <v>45712</v>
          </cell>
          <cell r="E16" t="str">
            <v>CAJERO (A)</v>
          </cell>
          <cell r="F16" t="str">
            <v xml:space="preserve">FARMACIA LOS YANEZ DE OSPINO, C.A </v>
          </cell>
          <cell r="G16" t="str">
            <v>RIF  J-500253052</v>
          </cell>
          <cell r="H16">
            <v>70</v>
          </cell>
        </row>
        <row r="17">
          <cell r="C17">
            <v>26940897</v>
          </cell>
          <cell r="D17">
            <v>45712</v>
          </cell>
          <cell r="E17" t="str">
            <v>GERENTE</v>
          </cell>
          <cell r="F17" t="str">
            <v xml:space="preserve">FARMACIA LOS YANEZ DE OSPINO, C.A </v>
          </cell>
          <cell r="G17" t="str">
            <v>RIF  J-500253052</v>
          </cell>
          <cell r="H17">
            <v>110</v>
          </cell>
        </row>
        <row r="18">
          <cell r="C18">
            <v>18251792</v>
          </cell>
          <cell r="D18">
            <v>45323</v>
          </cell>
          <cell r="E18" t="str">
            <v>FARMACEUTICO</v>
          </cell>
          <cell r="F18" t="str">
            <v xml:space="preserve">FARMACIA LOS YANEZ DE OSPINO, C.A </v>
          </cell>
          <cell r="G18" t="str">
            <v>RIF  J-500253052</v>
          </cell>
          <cell r="H18">
            <v>125</v>
          </cell>
        </row>
        <row r="19">
          <cell r="C19">
            <v>30240358</v>
          </cell>
          <cell r="D19">
            <v>45999</v>
          </cell>
          <cell r="E19" t="str">
            <v>PROMOTOR DE VENTA</v>
          </cell>
          <cell r="F19" t="str">
            <v xml:space="preserve">FARMACIA LOS YANEZ DE OSPINO, C.A </v>
          </cell>
          <cell r="G19" t="str">
            <v>RIF  J-500253052</v>
          </cell>
          <cell r="H19">
            <v>40</v>
          </cell>
        </row>
        <row r="20">
          <cell r="C20">
            <v>21561594</v>
          </cell>
          <cell r="D20">
            <v>45999</v>
          </cell>
          <cell r="E20" t="str">
            <v>CAJERO (A)</v>
          </cell>
          <cell r="F20" t="str">
            <v xml:space="preserve">FARMACIA LOS YANEZ DE OSPINO, C.A </v>
          </cell>
          <cell r="G20" t="str">
            <v>RIF  J-500253052</v>
          </cell>
          <cell r="H20">
            <v>50</v>
          </cell>
        </row>
        <row r="21">
          <cell r="C21">
            <v>15237079</v>
          </cell>
          <cell r="D21">
            <v>45601</v>
          </cell>
          <cell r="E21" t="str">
            <v>DIRECTIVO</v>
          </cell>
          <cell r="F21" t="str">
            <v>FARMACIA FARMANOSTRA GUANARE, C.A.</v>
          </cell>
          <cell r="G21" t="str">
            <v>RIF-  J501049831</v>
          </cell>
          <cell r="H21">
            <v>50</v>
          </cell>
        </row>
        <row r="22">
          <cell r="C22">
            <v>24616618</v>
          </cell>
          <cell r="D22">
            <v>45441</v>
          </cell>
          <cell r="E22" t="str">
            <v>CAJERO (A)</v>
          </cell>
          <cell r="F22" t="str">
            <v>FARMACIA FARMANOSTRA GUANARE, C.A.</v>
          </cell>
          <cell r="G22" t="str">
            <v>RIF-  J501049831</v>
          </cell>
          <cell r="H22">
            <v>60</v>
          </cell>
        </row>
        <row r="23">
          <cell r="C23">
            <v>15886645</v>
          </cell>
          <cell r="D23">
            <v>45659</v>
          </cell>
          <cell r="E23" t="str">
            <v>GERENTE</v>
          </cell>
          <cell r="F23" t="str">
            <v>FARMACIA FARMANOSTRA GUANARE, C.A.</v>
          </cell>
          <cell r="G23" t="str">
            <v>RIF-  J501049831</v>
          </cell>
          <cell r="H23">
            <v>110</v>
          </cell>
        </row>
        <row r="24">
          <cell r="C24">
            <v>31202590</v>
          </cell>
          <cell r="D24">
            <v>45788</v>
          </cell>
          <cell r="E24" t="str">
            <v>CAJERO (A)</v>
          </cell>
          <cell r="F24" t="str">
            <v>FARMACIA FARMANOSTRA GUANARE, C.A.</v>
          </cell>
          <cell r="G24" t="str">
            <v>RIF-  J501049831</v>
          </cell>
          <cell r="H24">
            <v>60</v>
          </cell>
        </row>
        <row r="25">
          <cell r="C25">
            <v>25162417</v>
          </cell>
          <cell r="D25">
            <v>45846</v>
          </cell>
          <cell r="E25" t="str">
            <v>CAJERO (A)</v>
          </cell>
          <cell r="F25" t="str">
            <v>FARMACIA FARMANOSTRA GUANARE, C.A.</v>
          </cell>
          <cell r="G25" t="str">
            <v>RIF-  J501049831</v>
          </cell>
          <cell r="H25">
            <v>60</v>
          </cell>
        </row>
        <row r="26">
          <cell r="C26">
            <v>20544667</v>
          </cell>
          <cell r="D26">
            <v>45862</v>
          </cell>
          <cell r="E26" t="str">
            <v xml:space="preserve">SUPERVISOR DE ALMACEN </v>
          </cell>
          <cell r="F26" t="str">
            <v>FARMACIA FARMANOSTRA GUANARE, C.A.</v>
          </cell>
          <cell r="G26" t="str">
            <v>RIF-  J501049831</v>
          </cell>
          <cell r="H26">
            <v>70</v>
          </cell>
        </row>
        <row r="27">
          <cell r="C27">
            <v>15445083</v>
          </cell>
          <cell r="D27">
            <v>45909</v>
          </cell>
          <cell r="E27" t="str">
            <v>COORD. ADMINISTRATIVO</v>
          </cell>
          <cell r="F27" t="str">
            <v>FARMACIA FARMANOSTRA GUANARE, C.A.</v>
          </cell>
          <cell r="G27" t="str">
            <v>RIF-  J501049831</v>
          </cell>
          <cell r="H27">
            <v>70</v>
          </cell>
        </row>
        <row r="28">
          <cell r="C28">
            <v>17049673</v>
          </cell>
          <cell r="D28">
            <v>45979</v>
          </cell>
          <cell r="E28" t="str">
            <v>AUX. DE ALMACEN</v>
          </cell>
          <cell r="F28" t="str">
            <v>FARMACIA FARMANOSTRA GUANARE, C.A.</v>
          </cell>
          <cell r="G28" t="str">
            <v>RIF-  J501049831</v>
          </cell>
          <cell r="H28">
            <v>40</v>
          </cell>
        </row>
        <row r="29">
          <cell r="C29">
            <v>31054058</v>
          </cell>
          <cell r="D29">
            <v>45894</v>
          </cell>
          <cell r="E29" t="str">
            <v>CAJERO (A)</v>
          </cell>
          <cell r="F29" t="str">
            <v>FARMACIA FARMANOSTRA GUANARE, C.A.</v>
          </cell>
          <cell r="G29" t="str">
            <v>RIF-  J501049831</v>
          </cell>
          <cell r="H29">
            <v>50</v>
          </cell>
        </row>
        <row r="30">
          <cell r="C30">
            <v>10052314</v>
          </cell>
          <cell r="D30">
            <v>44979</v>
          </cell>
          <cell r="E30" t="str">
            <v>FARMACEUTICO</v>
          </cell>
          <cell r="F30" t="str">
            <v>FARMACIA FARMANOSTRA GUANARE, C.A.</v>
          </cell>
          <cell r="G30" t="str">
            <v>RIF-  J501049831</v>
          </cell>
          <cell r="H30">
            <v>125</v>
          </cell>
        </row>
        <row r="31">
          <cell r="C31">
            <v>18102594</v>
          </cell>
          <cell r="D31">
            <v>45293</v>
          </cell>
          <cell r="E31" t="str">
            <v>ANALISTA DE INVENTARIO</v>
          </cell>
          <cell r="F31" t="str">
            <v>FARMACIA FARMANOSTRA GUANARE, C.A. /CORPORATIVO</v>
          </cell>
          <cell r="G31" t="str">
            <v>RIF-  J501049831</v>
          </cell>
          <cell r="H31">
            <v>110</v>
          </cell>
        </row>
        <row r="32">
          <cell r="C32">
            <v>30074456</v>
          </cell>
          <cell r="D32">
            <v>45309</v>
          </cell>
          <cell r="E32" t="str">
            <v>ANALISTA DE FINANZAS</v>
          </cell>
          <cell r="F32" t="str">
            <v>FARMACIA FARMANOSTRA GUANARE, C.A. /CORPORATIVO</v>
          </cell>
          <cell r="G32" t="str">
            <v>RIF-  J501049831</v>
          </cell>
          <cell r="H32">
            <v>110</v>
          </cell>
        </row>
        <row r="33">
          <cell r="C33">
            <v>20643419</v>
          </cell>
          <cell r="D33">
            <v>45314</v>
          </cell>
          <cell r="E33" t="str">
            <v>ANALISTA DE COMPRAS</v>
          </cell>
          <cell r="F33" t="str">
            <v>FARMACIA FARMANOSTRA GUANARE, C.A. /CORPORATIVO</v>
          </cell>
          <cell r="G33" t="str">
            <v>RIF-  J501049831</v>
          </cell>
          <cell r="H33">
            <v>110</v>
          </cell>
        </row>
        <row r="34">
          <cell r="C34">
            <v>14271963</v>
          </cell>
          <cell r="D34">
            <v>45911</v>
          </cell>
          <cell r="E34" t="str">
            <v>ESPECIALISTA EN RRHH</v>
          </cell>
          <cell r="F34" t="str">
            <v>FARMACIA FARMANOSTRA GUANARE, C.A. /CORPORATIVO</v>
          </cell>
          <cell r="G34" t="str">
            <v>RIF-  J501049831</v>
          </cell>
          <cell r="H34">
            <v>90</v>
          </cell>
        </row>
        <row r="35">
          <cell r="C35">
            <v>20271643</v>
          </cell>
          <cell r="D35">
            <v>45936</v>
          </cell>
          <cell r="E35" t="str">
            <v>ESPECIALISTA EN RRHH</v>
          </cell>
          <cell r="F35" t="str">
            <v>FARMACIA FARMANOSTRA GUANARE, C.A. /CORPORATIVO</v>
          </cell>
          <cell r="G35" t="str">
            <v>RIF-  J501049831</v>
          </cell>
          <cell r="H35">
            <v>70</v>
          </cell>
        </row>
        <row r="36">
          <cell r="C36">
            <v>13038433</v>
          </cell>
          <cell r="D36">
            <v>45733</v>
          </cell>
          <cell r="E36" t="str">
            <v>ANALISTA DE INVENTARIO</v>
          </cell>
          <cell r="F36" t="str">
            <v>FARMACIA FARMANOSTRA GUANARE, C.A. /CORPORATIVO</v>
          </cell>
          <cell r="G36" t="str">
            <v>RIF-  J501049831</v>
          </cell>
          <cell r="H36">
            <v>110</v>
          </cell>
        </row>
        <row r="37">
          <cell r="C37">
            <v>19678992</v>
          </cell>
          <cell r="D37">
            <v>45761</v>
          </cell>
          <cell r="E37" t="str">
            <v>ANALISTA DE FINANZAS</v>
          </cell>
          <cell r="F37" t="str">
            <v>FARMACIA FARMANOSTRA GUANARE, C.A. /CORPORATIVO</v>
          </cell>
          <cell r="G37" t="str">
            <v>RIF-  J501049831</v>
          </cell>
          <cell r="H37">
            <v>110</v>
          </cell>
        </row>
        <row r="38">
          <cell r="C38">
            <v>17363079</v>
          </cell>
          <cell r="D38">
            <v>45894</v>
          </cell>
          <cell r="E38" t="str">
            <v>ASISTENTE ADMINISTRATIVO</v>
          </cell>
          <cell r="F38" t="str">
            <v>FARMACIA FARMANOSTRA GUANARE, C.A. /CORPORATIVO</v>
          </cell>
          <cell r="G38" t="str">
            <v>RIF-  J501049831</v>
          </cell>
          <cell r="H38">
            <v>60</v>
          </cell>
        </row>
        <row r="39">
          <cell r="C39">
            <v>29919196</v>
          </cell>
          <cell r="D39">
            <v>45999</v>
          </cell>
          <cell r="E39" t="str">
            <v>ANALISTA DE TESORERIA</v>
          </cell>
          <cell r="F39" t="str">
            <v>FARMACIA FARMANOSTRA GUANARE, C.A. /CORPORATIVO</v>
          </cell>
          <cell r="G39" t="str">
            <v>RIF-  J501049831</v>
          </cell>
          <cell r="H39">
            <v>60</v>
          </cell>
        </row>
        <row r="40">
          <cell r="C40">
            <v>25956343</v>
          </cell>
          <cell r="D40">
            <v>46000</v>
          </cell>
          <cell r="E40" t="str">
            <v>ANALISTA DE TESORERIA</v>
          </cell>
          <cell r="F40" t="str">
            <v>FARMACIA FARMANOSTRA GUANARE, C.A. /CORPORATIVO</v>
          </cell>
          <cell r="G40" t="str">
            <v>RIF-  J501049831</v>
          </cell>
          <cell r="H40">
            <v>60</v>
          </cell>
        </row>
        <row r="41">
          <cell r="C41">
            <v>16520363</v>
          </cell>
          <cell r="D41">
            <v>45294</v>
          </cell>
          <cell r="E41" t="str">
            <v>GERENTE</v>
          </cell>
          <cell r="F41" t="str">
            <v>FARMACIA LOS LLANOS DE OSPINO C.A</v>
          </cell>
          <cell r="G41" t="str">
            <v xml:space="preserve">RIF- J504098116 </v>
          </cell>
          <cell r="H41">
            <v>220</v>
          </cell>
        </row>
        <row r="42">
          <cell r="C42">
            <v>18224805</v>
          </cell>
          <cell r="D42">
            <v>45342</v>
          </cell>
          <cell r="E42" t="str">
            <v>COORD. ADMINISTRATIVO</v>
          </cell>
          <cell r="F42" t="str">
            <v>FARMACIA LOS LLANOS DE OSPINO C.A</v>
          </cell>
          <cell r="G42" t="str">
            <v xml:space="preserve">RIF- J504098116 </v>
          </cell>
          <cell r="H42">
            <v>90</v>
          </cell>
        </row>
        <row r="43">
          <cell r="C43">
            <v>24807692</v>
          </cell>
          <cell r="D43">
            <v>45139</v>
          </cell>
          <cell r="E43" t="str">
            <v>CHOFER</v>
          </cell>
          <cell r="F43" t="str">
            <v>FARMACIA LOS LLANOS DE OSPINO C.A</v>
          </cell>
          <cell r="G43" t="str">
            <v xml:space="preserve">RIF- J504098116 </v>
          </cell>
          <cell r="H43">
            <v>50</v>
          </cell>
        </row>
        <row r="44">
          <cell r="C44">
            <v>26705934</v>
          </cell>
          <cell r="D44">
            <v>45558</v>
          </cell>
          <cell r="E44" t="str">
            <v>AUX. DE ALMACEN</v>
          </cell>
          <cell r="F44" t="str">
            <v>FARMACIA LOS LLANOS DE OSPINO C.A</v>
          </cell>
          <cell r="G44" t="str">
            <v xml:space="preserve">RIF- J504098116 </v>
          </cell>
          <cell r="H44">
            <v>50</v>
          </cell>
        </row>
        <row r="45">
          <cell r="C45">
            <v>15399781</v>
          </cell>
          <cell r="D45">
            <v>45261</v>
          </cell>
          <cell r="E45" t="str">
            <v>CAJERO (A)</v>
          </cell>
          <cell r="F45" t="str">
            <v>FARMACIA LOS LLANOS DE OSPINO C.A</v>
          </cell>
          <cell r="G45" t="str">
            <v xml:space="preserve">RIF- J504098116 </v>
          </cell>
          <cell r="H45">
            <v>60</v>
          </cell>
        </row>
        <row r="46">
          <cell r="C46">
            <v>17616649</v>
          </cell>
          <cell r="D46">
            <v>45313</v>
          </cell>
          <cell r="E46" t="str">
            <v>CAJERO (A)</v>
          </cell>
          <cell r="F46" t="str">
            <v>FARMACIA LOS LLANOS DE OSPINO C.A</v>
          </cell>
          <cell r="G46" t="str">
            <v xml:space="preserve">RIF- J504098116 </v>
          </cell>
          <cell r="H46">
            <v>60</v>
          </cell>
        </row>
        <row r="47">
          <cell r="C47">
            <v>21562526</v>
          </cell>
          <cell r="D47">
            <v>45321</v>
          </cell>
          <cell r="E47" t="str">
            <v>CAJERO (A)</v>
          </cell>
          <cell r="F47" t="str">
            <v>FARMACIA LOS LLANOS DE OSPINO C.A</v>
          </cell>
          <cell r="G47" t="str">
            <v xml:space="preserve">RIF- J504098116 </v>
          </cell>
          <cell r="H47">
            <v>60</v>
          </cell>
        </row>
        <row r="48">
          <cell r="C48">
            <v>23485080</v>
          </cell>
          <cell r="D48">
            <v>45847</v>
          </cell>
          <cell r="E48" t="str">
            <v>AUX. DE ALMACEN</v>
          </cell>
          <cell r="F48" t="str">
            <v>FARMACIA LOS LLANOS DE OSPINO C.A</v>
          </cell>
          <cell r="G48" t="str">
            <v xml:space="preserve">RIF- J504098116 </v>
          </cell>
          <cell r="H48">
            <v>50</v>
          </cell>
        </row>
        <row r="49">
          <cell r="C49">
            <v>12647918</v>
          </cell>
          <cell r="D49">
            <v>45139</v>
          </cell>
          <cell r="E49" t="str">
            <v>FARMACEUTICO</v>
          </cell>
          <cell r="F49" t="str">
            <v>FARMACIA LOS LLANOS DE OSPINO C.A</v>
          </cell>
          <cell r="G49" t="str">
            <v xml:space="preserve">RIF- J504098116 </v>
          </cell>
          <cell r="H49">
            <v>125</v>
          </cell>
        </row>
        <row r="50">
          <cell r="C50">
            <v>18101843</v>
          </cell>
          <cell r="D50">
            <v>45958</v>
          </cell>
          <cell r="E50" t="str">
            <v>CAJERO (A)</v>
          </cell>
          <cell r="F50" t="str">
            <v>FARMACIA LOS LLANOS DE OSPINO C.A</v>
          </cell>
          <cell r="G50" t="str">
            <v xml:space="preserve">RIF- J504098116 </v>
          </cell>
          <cell r="H50">
            <v>50</v>
          </cell>
        </row>
        <row r="51">
          <cell r="C51">
            <v>17362211</v>
          </cell>
          <cell r="D51">
            <v>45978</v>
          </cell>
          <cell r="E51" t="str">
            <v>CAJERO (A)</v>
          </cell>
          <cell r="F51" t="str">
            <v>FARMACIA LOS LLANOS DE OSPINO C.A</v>
          </cell>
          <cell r="G51" t="str">
            <v xml:space="preserve">RIF- J504098116 </v>
          </cell>
          <cell r="H51">
            <v>50</v>
          </cell>
        </row>
        <row r="52">
          <cell r="C52">
            <v>18891102</v>
          </cell>
          <cell r="D52">
            <v>45978</v>
          </cell>
          <cell r="E52" t="str">
            <v xml:space="preserve">SUPERVISOR DE ALMACEN </v>
          </cell>
          <cell r="F52" t="str">
            <v>FARMACIA LOS LLANOS DE OSPINO C.A</v>
          </cell>
          <cell r="G52" t="str">
            <v xml:space="preserve">RIF- J504098116 </v>
          </cell>
          <cell r="H52">
            <v>60</v>
          </cell>
        </row>
        <row r="53">
          <cell r="C53">
            <v>13534905</v>
          </cell>
          <cell r="D53">
            <v>45971</v>
          </cell>
          <cell r="E53" t="str">
            <v>CAJERO (A)</v>
          </cell>
          <cell r="F53" t="str">
            <v>FARMACIA LOS LLANOS DE OSPINO C.A</v>
          </cell>
          <cell r="G53" t="str">
            <v xml:space="preserve">RIF- J504098116 </v>
          </cell>
          <cell r="H53">
            <v>50</v>
          </cell>
        </row>
        <row r="54">
          <cell r="C54">
            <v>24935968</v>
          </cell>
          <cell r="D54">
            <v>44565</v>
          </cell>
          <cell r="E54" t="str">
            <v>GERENTE</v>
          </cell>
          <cell r="F54" t="str">
            <v xml:space="preserve"> FARMACIA SANTA CRUZ DE OSPINO C.A</v>
          </cell>
          <cell r="G54" t="str">
            <v>RIF  J-500304773</v>
          </cell>
          <cell r="H54">
            <v>110</v>
          </cell>
        </row>
        <row r="55">
          <cell r="C55">
            <v>26059254</v>
          </cell>
          <cell r="D55">
            <v>45127</v>
          </cell>
          <cell r="E55" t="str">
            <v xml:space="preserve">SUPERVISOR DE ALMACEN </v>
          </cell>
          <cell r="F55" t="str">
            <v xml:space="preserve"> FARMACIA SANTA CRUZ DE OSPINO C.A</v>
          </cell>
          <cell r="G55" t="str">
            <v>RIF  J-500304773</v>
          </cell>
          <cell r="H55">
            <v>70</v>
          </cell>
        </row>
        <row r="56">
          <cell r="C56">
            <v>25761830</v>
          </cell>
          <cell r="D56">
            <v>45936</v>
          </cell>
          <cell r="E56" t="str">
            <v>COORD. ADMINISTRATIVO</v>
          </cell>
          <cell r="F56" t="str">
            <v xml:space="preserve"> FARMACIA SANTA CRUZ DE OSPINO C.A</v>
          </cell>
          <cell r="G56" t="str">
            <v>RIF  J-500304773</v>
          </cell>
          <cell r="H56">
            <v>90</v>
          </cell>
        </row>
        <row r="57">
          <cell r="C57">
            <v>21022978</v>
          </cell>
          <cell r="D57">
            <v>45146</v>
          </cell>
          <cell r="E57" t="str">
            <v>CAJERO (A)</v>
          </cell>
          <cell r="F57" t="str">
            <v xml:space="preserve"> FARMACIA SANTA CRUZ DE OSPINO C.A</v>
          </cell>
          <cell r="G57" t="str">
            <v>RIF  J-500304773</v>
          </cell>
          <cell r="H57">
            <v>60</v>
          </cell>
        </row>
        <row r="58">
          <cell r="C58">
            <v>14347620</v>
          </cell>
          <cell r="D58">
            <v>45293</v>
          </cell>
          <cell r="E58" t="str">
            <v>SERVICIOS GENERALES</v>
          </cell>
          <cell r="F58" t="str">
            <v xml:space="preserve"> FARMACIA SANTA CRUZ DE OSPINO C.A</v>
          </cell>
          <cell r="G58" t="str">
            <v>RIF  J-500304773</v>
          </cell>
          <cell r="H58">
            <v>70</v>
          </cell>
        </row>
        <row r="59">
          <cell r="C59">
            <v>16752853</v>
          </cell>
          <cell r="D59">
            <v>45427</v>
          </cell>
          <cell r="E59" t="str">
            <v>MANTENIMIENTO</v>
          </cell>
          <cell r="F59" t="str">
            <v xml:space="preserve"> FARMACIA SANTA CRUZ DE OSPINO C.A</v>
          </cell>
          <cell r="G59" t="str">
            <v>RIF  J-500304773</v>
          </cell>
          <cell r="H59">
            <v>40</v>
          </cell>
        </row>
        <row r="60">
          <cell r="C60">
            <v>25761760</v>
          </cell>
          <cell r="D60">
            <v>45552</v>
          </cell>
          <cell r="E60" t="str">
            <v>CAJERO (A)</v>
          </cell>
          <cell r="F60" t="str">
            <v xml:space="preserve"> FARMACIA SANTA CRUZ DE OSPINO C.A</v>
          </cell>
          <cell r="G60" t="str">
            <v>RIF  J-500304773</v>
          </cell>
          <cell r="H60">
            <v>60</v>
          </cell>
        </row>
        <row r="61">
          <cell r="C61">
            <v>24340635</v>
          </cell>
          <cell r="D61">
            <v>45573</v>
          </cell>
          <cell r="E61" t="str">
            <v>CAJERO (A)</v>
          </cell>
          <cell r="F61" t="str">
            <v xml:space="preserve"> FARMACIA SANTA CRUZ DE OSPINO C.A</v>
          </cell>
          <cell r="G61" t="str">
            <v>RIF  J-500304773</v>
          </cell>
          <cell r="H61">
            <v>60</v>
          </cell>
        </row>
        <row r="62">
          <cell r="C62">
            <v>15798914</v>
          </cell>
          <cell r="D62">
            <v>45978</v>
          </cell>
          <cell r="E62" t="str">
            <v>CAJERO (A)</v>
          </cell>
          <cell r="F62" t="str">
            <v xml:space="preserve"> FARMACIA SANTA CRUZ DE OSPINO C.A</v>
          </cell>
          <cell r="G62" t="str">
            <v>RIF  J-500304773</v>
          </cell>
          <cell r="H62">
            <v>50</v>
          </cell>
        </row>
        <row r="63">
          <cell r="C63">
            <v>29919357</v>
          </cell>
          <cell r="D63">
            <v>45978</v>
          </cell>
          <cell r="E63" t="str">
            <v>AUX. DE ALMACEN</v>
          </cell>
          <cell r="F63" t="str">
            <v xml:space="preserve"> FARMACIA SANTA CRUZ DE OSPINO C.A</v>
          </cell>
          <cell r="G63" t="str">
            <v>RIF  J-500304773</v>
          </cell>
          <cell r="H63">
            <v>40</v>
          </cell>
        </row>
        <row r="64">
          <cell r="C64">
            <v>27898981</v>
          </cell>
          <cell r="D64">
            <v>45846</v>
          </cell>
          <cell r="E64" t="str">
            <v>AUX. DE ALMACEN</v>
          </cell>
          <cell r="F64" t="str">
            <v xml:space="preserve"> FARMACIA SANTA CRUZ DE OSPINO C.A</v>
          </cell>
          <cell r="G64" t="str">
            <v>RIF  J-500304773</v>
          </cell>
          <cell r="H64">
            <v>50</v>
          </cell>
        </row>
        <row r="65">
          <cell r="C65">
            <v>14178811</v>
          </cell>
          <cell r="D65">
            <v>45848</v>
          </cell>
          <cell r="E65" t="str">
            <v>CAJERO (A)</v>
          </cell>
          <cell r="F65" t="str">
            <v xml:space="preserve"> FARMACIA SANTA CRUZ DE OSPINO C.A</v>
          </cell>
          <cell r="G65" t="str">
            <v>RIF  J-500304773</v>
          </cell>
          <cell r="H65">
            <v>60</v>
          </cell>
        </row>
        <row r="66">
          <cell r="C66">
            <v>31345492</v>
          </cell>
          <cell r="D66">
            <v>45908</v>
          </cell>
          <cell r="E66" t="str">
            <v>SUPERVISOR DE VENTAS</v>
          </cell>
          <cell r="F66" t="str">
            <v xml:space="preserve"> FARMACIA SANTA CRUZ DE OSPINO C.A</v>
          </cell>
          <cell r="G66" t="str">
            <v>RIF- J506412667</v>
          </cell>
          <cell r="H66">
            <v>70</v>
          </cell>
        </row>
        <row r="67">
          <cell r="C67">
            <v>21135632</v>
          </cell>
          <cell r="D67">
            <v>44805</v>
          </cell>
          <cell r="E67" t="str">
            <v>DIRECTIVO</v>
          </cell>
          <cell r="F67" t="str">
            <v>CORPORATIVO</v>
          </cell>
          <cell r="G67" t="str">
            <v>RIF  J-500304773</v>
          </cell>
          <cell r="H67">
            <v>170</v>
          </cell>
        </row>
        <row r="68">
          <cell r="C68">
            <v>24320202</v>
          </cell>
          <cell r="D68">
            <v>45659</v>
          </cell>
          <cell r="E68" t="str">
            <v>CAJERO (A)</v>
          </cell>
          <cell r="F68" t="str">
            <v>FARMACIA MAMANICO OSPINO C.A.</v>
          </cell>
          <cell r="G68" t="str">
            <v>RIF- J506412667</v>
          </cell>
          <cell r="H68">
            <v>60</v>
          </cell>
        </row>
        <row r="69">
          <cell r="C69">
            <v>19376483</v>
          </cell>
          <cell r="D69">
            <v>45659</v>
          </cell>
          <cell r="E69" t="str">
            <v>CAJERO (A)</v>
          </cell>
          <cell r="F69" t="str">
            <v>FARMACIA MAMANICO OSPINO C.A.</v>
          </cell>
          <cell r="G69" t="str">
            <v>RIF- J506412667</v>
          </cell>
          <cell r="H69">
            <v>60</v>
          </cell>
        </row>
        <row r="70">
          <cell r="C70">
            <v>10638320</v>
          </cell>
          <cell r="D70">
            <v>45659</v>
          </cell>
          <cell r="E70" t="str">
            <v>CAJERO (A)</v>
          </cell>
          <cell r="F70" t="str">
            <v>FARMACIA MAMANICO OSPINO C.A.</v>
          </cell>
          <cell r="G70" t="str">
            <v>RIF- J506412667</v>
          </cell>
          <cell r="H70">
            <v>60</v>
          </cell>
        </row>
        <row r="71">
          <cell r="C71">
            <v>27277686</v>
          </cell>
          <cell r="D71">
            <v>45659</v>
          </cell>
          <cell r="E71" t="str">
            <v>COORD. ADMINISTRATIVO</v>
          </cell>
          <cell r="F71" t="str">
            <v>FARMACIA MAMANICO OSPINO C.A.</v>
          </cell>
          <cell r="G71" t="str">
            <v>RIF- J506412667</v>
          </cell>
          <cell r="H71">
            <v>90</v>
          </cell>
        </row>
        <row r="72">
          <cell r="C72">
            <v>23032373</v>
          </cell>
          <cell r="D72">
            <v>45733</v>
          </cell>
          <cell r="E72" t="str">
            <v>CAJERO (A)</v>
          </cell>
          <cell r="F72" t="str">
            <v>FARMACIA MAMANICO OSPINO C.A.</v>
          </cell>
          <cell r="G72" t="str">
            <v>RIF- J506412667</v>
          </cell>
          <cell r="H72">
            <v>60</v>
          </cell>
        </row>
        <row r="73">
          <cell r="C73">
            <v>22988948</v>
          </cell>
          <cell r="D73">
            <v>45873</v>
          </cell>
          <cell r="E73" t="str">
            <v>CAJERO (A)</v>
          </cell>
          <cell r="F73" t="str">
            <v>FARMACIA MAMANICO OSPINO C.A.</v>
          </cell>
          <cell r="G73" t="str">
            <v>RIF- J506412667</v>
          </cell>
          <cell r="H73">
            <v>60</v>
          </cell>
        </row>
        <row r="74">
          <cell r="C74">
            <v>10143962</v>
          </cell>
          <cell r="D74">
            <v>45659</v>
          </cell>
          <cell r="E74" t="str">
            <v>FARMACEUTICO</v>
          </cell>
          <cell r="F74" t="str">
            <v>FARMACIA MAMANICO OSPINO C.A.</v>
          </cell>
          <cell r="G74" t="str">
            <v>RIF- J506412667</v>
          </cell>
          <cell r="H74">
            <v>100</v>
          </cell>
        </row>
        <row r="75">
          <cell r="C75">
            <v>12265596</v>
          </cell>
          <cell r="D75">
            <v>45909</v>
          </cell>
          <cell r="E75" t="str">
            <v>COORD. ADMINISTRATIVO</v>
          </cell>
          <cell r="F75" t="str">
            <v>FARMACIA MAMANICO OSPINO C.A.</v>
          </cell>
          <cell r="G75" t="str">
            <v>RIF- J506412667</v>
          </cell>
          <cell r="H75">
            <v>70</v>
          </cell>
        </row>
        <row r="76">
          <cell r="C76">
            <v>15070132</v>
          </cell>
          <cell r="D76">
            <v>45908</v>
          </cell>
          <cell r="E76" t="str">
            <v>CAJERO (A)</v>
          </cell>
          <cell r="F76" t="str">
            <v>FARMACIA MAMANICO OSPINO C.A.</v>
          </cell>
          <cell r="G76" t="str">
            <v>RIF- J506412667</v>
          </cell>
          <cell r="H76">
            <v>50</v>
          </cell>
        </row>
        <row r="77">
          <cell r="C77">
            <v>16414279</v>
          </cell>
          <cell r="D77">
            <v>45986</v>
          </cell>
          <cell r="E77" t="str">
            <v>CAJERO (A)</v>
          </cell>
          <cell r="F77" t="str">
            <v>FARMACIA MAMANICO OSPINO C.A.</v>
          </cell>
          <cell r="G77" t="str">
            <v>RIF- J506412667</v>
          </cell>
          <cell r="H77">
            <v>50</v>
          </cell>
        </row>
        <row r="78">
          <cell r="C78">
            <v>12088699</v>
          </cell>
          <cell r="D78">
            <v>45987</v>
          </cell>
          <cell r="E78" t="str">
            <v>CAJERO (A)</v>
          </cell>
          <cell r="F78" t="str">
            <v>FARMACIA MAMANICO OSPINO C.A.</v>
          </cell>
          <cell r="G78" t="str">
            <v>RIF- J506412667</v>
          </cell>
          <cell r="H78">
            <v>50</v>
          </cell>
        </row>
        <row r="79">
          <cell r="C79">
            <v>12236585</v>
          </cell>
          <cell r="D79">
            <v>45917</v>
          </cell>
          <cell r="E79" t="str">
            <v>COORD. ADMINISTRATIVO</v>
          </cell>
          <cell r="F79" t="str">
            <v>FARMACIA MAMANICO OSPINO C.A. SUCURSAL</v>
          </cell>
          <cell r="G79" t="str">
            <v>RIF- J506412667</v>
          </cell>
          <cell r="H79">
            <v>90</v>
          </cell>
        </row>
        <row r="80">
          <cell r="C80">
            <v>9255941</v>
          </cell>
          <cell r="D80">
            <v>45901</v>
          </cell>
          <cell r="E80" t="str">
            <v>CAJERO (A)</v>
          </cell>
          <cell r="F80" t="str">
            <v>FARMACIA MAMANICO OSPINO C.A. SUCURSAL</v>
          </cell>
          <cell r="G80" t="str">
            <v>RIF- J506412667</v>
          </cell>
          <cell r="H80">
            <v>60</v>
          </cell>
        </row>
        <row r="81">
          <cell r="C81">
            <v>29632098</v>
          </cell>
          <cell r="D81">
            <v>45901</v>
          </cell>
          <cell r="E81" t="str">
            <v xml:space="preserve">SUPERVISOR DE ALMACEN </v>
          </cell>
          <cell r="F81" t="str">
            <v>FARMACIA MAMANICO OSPINO C.A. SUCURSAL</v>
          </cell>
          <cell r="G81" t="str">
            <v>RIF- J506412667</v>
          </cell>
          <cell r="H81">
            <v>70</v>
          </cell>
        </row>
        <row r="82">
          <cell r="C82">
            <v>26151681</v>
          </cell>
          <cell r="D82">
            <v>45901</v>
          </cell>
          <cell r="E82" t="str">
            <v>CAJERO (A)</v>
          </cell>
          <cell r="F82" t="str">
            <v>FARMACIA MAMANICO OSPINO C.A. SUCURSAL</v>
          </cell>
          <cell r="G82" t="str">
            <v>RIF- J506412667</v>
          </cell>
          <cell r="H82">
            <v>60</v>
          </cell>
        </row>
        <row r="83">
          <cell r="C83">
            <v>13486066</v>
          </cell>
          <cell r="D83">
            <v>45901</v>
          </cell>
          <cell r="E83" t="str">
            <v>AUX. DE ALMACEN</v>
          </cell>
          <cell r="F83" t="str">
            <v>FARMACIA MAMANICO OSPINO C.A. SUCURSAL</v>
          </cell>
          <cell r="G83" t="str">
            <v>RIF- J506412667</v>
          </cell>
          <cell r="H83">
            <v>50</v>
          </cell>
        </row>
        <row r="84">
          <cell r="C84">
            <v>23551673</v>
          </cell>
          <cell r="D84">
            <v>45936</v>
          </cell>
          <cell r="E84" t="str">
            <v>CAJERO (A)</v>
          </cell>
          <cell r="F84" t="str">
            <v>FARMACIA MAMANICO OSPINO C.A. SUCURSAL</v>
          </cell>
          <cell r="G84" t="str">
            <v>RIF- J506412667</v>
          </cell>
          <cell r="H84">
            <v>60</v>
          </cell>
        </row>
        <row r="85">
          <cell r="C85">
            <v>18893944</v>
          </cell>
          <cell r="D85">
            <v>45936</v>
          </cell>
          <cell r="E85" t="str">
            <v>CAJERO (A)</v>
          </cell>
          <cell r="F85" t="str">
            <v>FARMACIA MAMANICO OSPINO C.A. SUCURSAL</v>
          </cell>
          <cell r="G85" t="str">
            <v>RIF- J506412667</v>
          </cell>
          <cell r="H85">
            <v>60</v>
          </cell>
        </row>
        <row r="86">
          <cell r="C86">
            <v>32489512</v>
          </cell>
          <cell r="D86">
            <v>45992</v>
          </cell>
          <cell r="E86" t="str">
            <v>CAJERO (A)</v>
          </cell>
          <cell r="F86" t="str">
            <v>FARMACIA MAMANICO OSPINO C.A. SUCURSAL</v>
          </cell>
          <cell r="G86" t="str">
            <v>RIF- J506412667</v>
          </cell>
          <cell r="H86">
            <v>50</v>
          </cell>
        </row>
        <row r="87">
          <cell r="C87">
            <v>31812734</v>
          </cell>
          <cell r="D87">
            <v>45992</v>
          </cell>
          <cell r="E87" t="str">
            <v>CAJERO (A)</v>
          </cell>
          <cell r="F87" t="str">
            <v>FARMACIA MAMANICO OSPINO C.A. SUCURSAL</v>
          </cell>
          <cell r="G87" t="str">
            <v>RIF- J506412667</v>
          </cell>
          <cell r="H87">
            <v>50</v>
          </cell>
        </row>
        <row r="88">
          <cell r="C88">
            <v>16072175</v>
          </cell>
          <cell r="D88">
            <v>45887</v>
          </cell>
          <cell r="E88" t="str">
            <v>CAJERO (A)</v>
          </cell>
          <cell r="F88" t="str">
            <v xml:space="preserve">FARMACIAS PACHECO (FARPACA) C.A </v>
          </cell>
          <cell r="G88" t="str">
            <v>RIF- J506412667</v>
          </cell>
          <cell r="H88">
            <v>50</v>
          </cell>
        </row>
        <row r="89">
          <cell r="C89">
            <v>17882694</v>
          </cell>
          <cell r="D89">
            <v>45887</v>
          </cell>
          <cell r="E89" t="str">
            <v>COORD. ADMINISTRATIVO</v>
          </cell>
          <cell r="F89" t="str">
            <v xml:space="preserve">FARMACIAS PACHECO (FARPACA) C.A </v>
          </cell>
          <cell r="G89" t="str">
            <v>J304030444</v>
          </cell>
          <cell r="H89">
            <v>70</v>
          </cell>
        </row>
        <row r="90">
          <cell r="C90">
            <v>10726140</v>
          </cell>
          <cell r="D90">
            <v>45887</v>
          </cell>
          <cell r="E90" t="str">
            <v>CAJERO (A)</v>
          </cell>
          <cell r="F90" t="str">
            <v xml:space="preserve">FARMACIAS PACHECO (FARPACA) C.A </v>
          </cell>
          <cell r="G90" t="str">
            <v>J304030444</v>
          </cell>
          <cell r="H90">
            <v>50</v>
          </cell>
        </row>
        <row r="91">
          <cell r="C91">
            <v>12238203</v>
          </cell>
          <cell r="D91">
            <v>45887</v>
          </cell>
          <cell r="E91" t="str">
            <v>CAJERO (A)</v>
          </cell>
          <cell r="F91" t="str">
            <v xml:space="preserve">FARMACIAS PACHECO (FARPACA) C.A </v>
          </cell>
          <cell r="G91" t="str">
            <v>J304030444</v>
          </cell>
          <cell r="H91">
            <v>50</v>
          </cell>
        </row>
        <row r="92">
          <cell r="C92">
            <v>27102918</v>
          </cell>
          <cell r="D92">
            <v>45887</v>
          </cell>
          <cell r="E92" t="str">
            <v>CAJERO (A)</v>
          </cell>
          <cell r="F92" t="str">
            <v xml:space="preserve">FARMACIAS PACHECO (FARPACA) C.A </v>
          </cell>
          <cell r="G92" t="str">
            <v>J304030444</v>
          </cell>
          <cell r="H92">
            <v>50</v>
          </cell>
        </row>
        <row r="93">
          <cell r="C93">
            <v>4138739</v>
          </cell>
          <cell r="D93">
            <v>45887</v>
          </cell>
          <cell r="E93" t="str">
            <v>FARMACEUTICO</v>
          </cell>
          <cell r="F93" t="str">
            <v xml:space="preserve">FARMACIAS PACHECO (FARPACA) C.A </v>
          </cell>
          <cell r="G93" t="str">
            <v>J304030444</v>
          </cell>
          <cell r="H93">
            <v>100</v>
          </cell>
        </row>
        <row r="94">
          <cell r="C94">
            <v>12240037</v>
          </cell>
          <cell r="D94">
            <v>45999</v>
          </cell>
          <cell r="E94" t="str">
            <v>CAJERO (A)</v>
          </cell>
          <cell r="F94" t="str">
            <v xml:space="preserve">FARMACIAS PACHECO (FARPACA) C.A </v>
          </cell>
          <cell r="G94" t="str">
            <v>J301360354</v>
          </cell>
          <cell r="H94">
            <v>50</v>
          </cell>
        </row>
        <row r="95">
          <cell r="C95">
            <v>24025549</v>
          </cell>
          <cell r="D95">
            <v>43678</v>
          </cell>
          <cell r="E95" t="str">
            <v>COORD. ADMINISTRATIVO</v>
          </cell>
          <cell r="F95" t="str">
            <v xml:space="preserve"> FARMACIA DON MANUEL OSPINO C.A</v>
          </cell>
          <cell r="G95" t="str">
            <v>J-408734184</v>
          </cell>
          <cell r="H95">
            <v>90</v>
          </cell>
        </row>
        <row r="96">
          <cell r="C96">
            <v>29824444</v>
          </cell>
          <cell r="D96">
            <v>45275</v>
          </cell>
          <cell r="E96" t="str">
            <v>SUP. DE ALMACEN</v>
          </cell>
          <cell r="F96" t="str">
            <v xml:space="preserve"> FARMACIA DON MANUEL OSPINO C.A</v>
          </cell>
          <cell r="G96" t="str">
            <v>J-408734184</v>
          </cell>
          <cell r="H96">
            <v>70</v>
          </cell>
        </row>
        <row r="97">
          <cell r="C97">
            <v>28005125</v>
          </cell>
          <cell r="D97">
            <v>45369</v>
          </cell>
          <cell r="E97" t="str">
            <v>SUP. DE ALMACEN</v>
          </cell>
          <cell r="F97" t="str">
            <v xml:space="preserve"> FARMACIA DON MANUEL OSPINO C.A</v>
          </cell>
          <cell r="G97" t="str">
            <v>J-408734184</v>
          </cell>
          <cell r="H97">
            <v>70</v>
          </cell>
        </row>
        <row r="98">
          <cell r="C98">
            <v>30007616</v>
          </cell>
          <cell r="D98">
            <v>45103</v>
          </cell>
          <cell r="E98" t="str">
            <v>CAJERO (A)</v>
          </cell>
          <cell r="F98" t="str">
            <v xml:space="preserve"> FARMACIA DON MANUEL OSPINO C.A</v>
          </cell>
          <cell r="G98" t="str">
            <v>J-408734184</v>
          </cell>
          <cell r="H98">
            <v>60</v>
          </cell>
        </row>
        <row r="99">
          <cell r="C99">
            <v>30219916</v>
          </cell>
          <cell r="D99">
            <v>44186</v>
          </cell>
          <cell r="E99" t="str">
            <v>SUP. DE VENTAS</v>
          </cell>
          <cell r="F99" t="str">
            <v xml:space="preserve"> FARMACIA DON MANUEL OSPINO C.A</v>
          </cell>
          <cell r="G99" t="str">
            <v>J-408734184</v>
          </cell>
          <cell r="H99">
            <v>70</v>
          </cell>
        </row>
        <row r="100">
          <cell r="C100">
            <v>25761878</v>
          </cell>
          <cell r="D100">
            <v>44416</v>
          </cell>
          <cell r="E100" t="str">
            <v>CAJERO (A)</v>
          </cell>
          <cell r="F100" t="str">
            <v xml:space="preserve"> FARMACIA DON MANUEL OSPINO C.A</v>
          </cell>
          <cell r="G100" t="str">
            <v>J-408734184</v>
          </cell>
          <cell r="H100">
            <v>60</v>
          </cell>
        </row>
        <row r="101">
          <cell r="C101">
            <v>20470460</v>
          </cell>
          <cell r="D101">
            <v>45537</v>
          </cell>
          <cell r="E101" t="str">
            <v>AUX. DE ALMACEN</v>
          </cell>
          <cell r="F101" t="str">
            <v xml:space="preserve"> FARMACIA DON MANUEL OSPINO C.A</v>
          </cell>
          <cell r="G101" t="str">
            <v>J-408734184</v>
          </cell>
          <cell r="H101">
            <v>60</v>
          </cell>
        </row>
        <row r="102">
          <cell r="C102">
            <v>28005119</v>
          </cell>
          <cell r="D102">
            <v>45579</v>
          </cell>
          <cell r="E102" t="str">
            <v>AUX. DE ALMACEN</v>
          </cell>
          <cell r="F102" t="str">
            <v xml:space="preserve"> FARMACIA DON MANUEL OSPINO C.A</v>
          </cell>
          <cell r="G102" t="str">
            <v>J-408734184</v>
          </cell>
          <cell r="H102">
            <v>50</v>
          </cell>
        </row>
        <row r="103">
          <cell r="C103">
            <v>26059020</v>
          </cell>
          <cell r="D103">
            <v>45786</v>
          </cell>
          <cell r="E103" t="str">
            <v>CAJERO (A)</v>
          </cell>
          <cell r="F103" t="str">
            <v xml:space="preserve"> FARMACIA DON MANUEL OSPINO C.A</v>
          </cell>
          <cell r="G103" t="str">
            <v>J-408734184</v>
          </cell>
          <cell r="H103">
            <v>60</v>
          </cell>
        </row>
        <row r="104">
          <cell r="C104">
            <v>9353863</v>
          </cell>
          <cell r="D104">
            <v>43017</v>
          </cell>
          <cell r="E104" t="str">
            <v>FARMACEUTICO</v>
          </cell>
          <cell r="F104" t="str">
            <v xml:space="preserve"> FARMACIA DON MANUEL OSPINO C.A</v>
          </cell>
          <cell r="G104" t="str">
            <v>J-408734184</v>
          </cell>
          <cell r="H104">
            <v>125</v>
          </cell>
        </row>
        <row r="105">
          <cell r="C105">
            <v>20643850</v>
          </cell>
          <cell r="D105">
            <v>45873</v>
          </cell>
          <cell r="E105" t="str">
            <v>AUX. DE ALMACEN</v>
          </cell>
          <cell r="F105" t="str">
            <v xml:space="preserve"> FARMACIA DON MANUEL OSPINO C.A</v>
          </cell>
          <cell r="G105" t="str">
            <v>J-408734184</v>
          </cell>
          <cell r="H105">
            <v>60</v>
          </cell>
        </row>
        <row r="106">
          <cell r="C106">
            <v>30984445</v>
          </cell>
          <cell r="D106">
            <v>45887</v>
          </cell>
          <cell r="E106" t="str">
            <v>AUX. DE ALMACEN</v>
          </cell>
          <cell r="F106" t="str">
            <v xml:space="preserve"> FARMACIA DON MANUEL OSPINO C.A</v>
          </cell>
          <cell r="G106" t="str">
            <v>J-408734184</v>
          </cell>
          <cell r="H106">
            <v>50</v>
          </cell>
        </row>
        <row r="107">
          <cell r="C107">
            <v>14996314</v>
          </cell>
          <cell r="D107">
            <v>45922</v>
          </cell>
          <cell r="E107" t="str">
            <v>COORD. ADMINISTRATIVO</v>
          </cell>
          <cell r="F107" t="str">
            <v xml:space="preserve"> FARMACIA DON MANUEL OSPINO C.A</v>
          </cell>
          <cell r="G107" t="str">
            <v>J-408734184</v>
          </cell>
          <cell r="H107">
            <v>90</v>
          </cell>
        </row>
        <row r="108">
          <cell r="C108">
            <v>17261935</v>
          </cell>
          <cell r="D108">
            <v>45922</v>
          </cell>
          <cell r="E108" t="str">
            <v>ASESOR CONTABLE</v>
          </cell>
          <cell r="F108" t="str">
            <v xml:space="preserve"> FARMACIA DON MANUEL OSPINO C.A</v>
          </cell>
          <cell r="G108" t="str">
            <v>J-408734184</v>
          </cell>
          <cell r="H108">
            <v>50</v>
          </cell>
        </row>
        <row r="109">
          <cell r="C109">
            <v>16475580</v>
          </cell>
          <cell r="D109">
            <v>45880</v>
          </cell>
          <cell r="E109" t="str">
            <v>COORD. ADMINISTRATIVO</v>
          </cell>
          <cell r="F109" t="str">
            <v>FARMACIA OSPINO C.A</v>
          </cell>
          <cell r="G109" t="str">
            <v>J-300599401</v>
          </cell>
          <cell r="H109">
            <v>80</v>
          </cell>
        </row>
        <row r="110">
          <cell r="C110">
            <v>24508492</v>
          </cell>
          <cell r="D110">
            <v>45659</v>
          </cell>
          <cell r="E110" t="str">
            <v>GERENTE</v>
          </cell>
          <cell r="F110" t="str">
            <v>FARMACIA OSPINO C.A</v>
          </cell>
          <cell r="G110" t="str">
            <v>J-300599402</v>
          </cell>
          <cell r="H110">
            <v>100</v>
          </cell>
        </row>
        <row r="111">
          <cell r="C111">
            <v>18481799</v>
          </cell>
          <cell r="D111">
            <v>45205</v>
          </cell>
          <cell r="E111" t="str">
            <v>SUP. DE VENTAS</v>
          </cell>
          <cell r="F111" t="str">
            <v>FARMACIA OSPINO C.A</v>
          </cell>
          <cell r="G111" t="str">
            <v>J-300599403</v>
          </cell>
          <cell r="H111">
            <v>70</v>
          </cell>
        </row>
        <row r="112">
          <cell r="C112">
            <v>21048671</v>
          </cell>
          <cell r="D112">
            <v>44796</v>
          </cell>
          <cell r="E112" t="str">
            <v>SUP. DE ALMACEN</v>
          </cell>
          <cell r="F112" t="str">
            <v>FARMACIA OSPINO C.A</v>
          </cell>
          <cell r="G112" t="str">
            <v>J-300599404</v>
          </cell>
          <cell r="H112">
            <v>70</v>
          </cell>
        </row>
        <row r="113">
          <cell r="C113">
            <v>24025066</v>
          </cell>
          <cell r="D113">
            <v>45659</v>
          </cell>
          <cell r="E113" t="str">
            <v>AUX DE ALMACEN</v>
          </cell>
          <cell r="F113" t="str">
            <v>FARMACIA OSPINO C.A</v>
          </cell>
          <cell r="G113" t="str">
            <v>J-300599405</v>
          </cell>
          <cell r="H113">
            <v>60</v>
          </cell>
        </row>
        <row r="114">
          <cell r="C114">
            <v>21525153</v>
          </cell>
          <cell r="D114">
            <v>44514</v>
          </cell>
          <cell r="E114" t="str">
            <v>AUX DE ALMACEN</v>
          </cell>
          <cell r="F114" t="str">
            <v>FARMACIA OSPINO C.A</v>
          </cell>
          <cell r="G114" t="str">
            <v>J-300599406</v>
          </cell>
          <cell r="H114">
            <v>50</v>
          </cell>
        </row>
        <row r="115">
          <cell r="C115">
            <v>25062947</v>
          </cell>
          <cell r="D115">
            <v>45689</v>
          </cell>
          <cell r="E115" t="str">
            <v>AUX DE ALMACEN</v>
          </cell>
          <cell r="F115" t="str">
            <v>FARMACIA OSPINO C.A</v>
          </cell>
          <cell r="G115" t="str">
            <v>J-300599408</v>
          </cell>
          <cell r="H115">
            <v>50</v>
          </cell>
        </row>
        <row r="116">
          <cell r="C116">
            <v>24507579</v>
          </cell>
          <cell r="D116">
            <v>45979</v>
          </cell>
          <cell r="E116" t="str">
            <v>AUX DE ALMACEN</v>
          </cell>
          <cell r="F116" t="str">
            <v>FARMACIA OSPINO C.A</v>
          </cell>
          <cell r="G116" t="str">
            <v>J-300599408</v>
          </cell>
          <cell r="H116">
            <v>40</v>
          </cell>
        </row>
        <row r="117">
          <cell r="C117">
            <v>24026154</v>
          </cell>
          <cell r="D117">
            <v>45748</v>
          </cell>
          <cell r="E117" t="str">
            <v>AUX DE ALMACEN</v>
          </cell>
          <cell r="F117" t="str">
            <v>FARMACIA OSPINO C.A</v>
          </cell>
          <cell r="G117" t="str">
            <v>J-300599409</v>
          </cell>
          <cell r="H117">
            <v>50</v>
          </cell>
        </row>
        <row r="118">
          <cell r="C118">
            <v>9401035</v>
          </cell>
          <cell r="D118">
            <v>39908</v>
          </cell>
          <cell r="E118" t="str">
            <v>CAJERO (A)</v>
          </cell>
          <cell r="F118" t="str">
            <v>FARMACIA OSPINO C.A</v>
          </cell>
          <cell r="G118" t="str">
            <v>J-300599410</v>
          </cell>
          <cell r="H118">
            <v>80</v>
          </cell>
        </row>
        <row r="119">
          <cell r="C119">
            <v>13959086</v>
          </cell>
          <cell r="D119">
            <v>45565</v>
          </cell>
          <cell r="E119" t="str">
            <v>CAJERO (A)</v>
          </cell>
          <cell r="F119" t="str">
            <v>FARMACIA OSPINO C.A</v>
          </cell>
          <cell r="G119" t="str">
            <v>J-300599412</v>
          </cell>
          <cell r="H119">
            <v>60</v>
          </cell>
        </row>
        <row r="120">
          <cell r="C120">
            <v>24507998</v>
          </cell>
          <cell r="D120">
            <v>44774</v>
          </cell>
          <cell r="E120" t="str">
            <v>MANTENIMIENTO</v>
          </cell>
          <cell r="F120" t="str">
            <v>FARMACIA OSPINO C.A</v>
          </cell>
          <cell r="G120" t="str">
            <v>J-300599414</v>
          </cell>
          <cell r="H120">
            <v>40</v>
          </cell>
        </row>
        <row r="121">
          <cell r="C121">
            <v>27419506</v>
          </cell>
          <cell r="D121">
            <v>45870</v>
          </cell>
          <cell r="E121" t="str">
            <v>AUX DE ALMACEN</v>
          </cell>
          <cell r="F121" t="str">
            <v>FARMACIA OSPINO C.A</v>
          </cell>
          <cell r="G121" t="str">
            <v>J-300599415</v>
          </cell>
          <cell r="H121">
            <v>50</v>
          </cell>
        </row>
        <row r="122">
          <cell r="C122">
            <v>31053254</v>
          </cell>
          <cell r="D122">
            <v>45870</v>
          </cell>
          <cell r="E122" t="str">
            <v>AUX DE ALMACEN</v>
          </cell>
          <cell r="F122" t="str">
            <v>FARMACIA OSPINO C.A</v>
          </cell>
          <cell r="G122" t="str">
            <v>J-300599417</v>
          </cell>
          <cell r="H122">
            <v>50</v>
          </cell>
        </row>
        <row r="123">
          <cell r="C123">
            <v>30576046</v>
          </cell>
          <cell r="D123">
            <v>45880</v>
          </cell>
          <cell r="E123" t="str">
            <v>CAJERO (A)</v>
          </cell>
          <cell r="F123" t="str">
            <v>FARMACIA OSPINO C.A</v>
          </cell>
          <cell r="G123" t="str">
            <v>J-300599418</v>
          </cell>
          <cell r="H123">
            <v>60</v>
          </cell>
        </row>
        <row r="124">
          <cell r="C124">
            <v>9353863</v>
          </cell>
          <cell r="D124" t="str">
            <v>-</v>
          </cell>
          <cell r="E124" t="str">
            <v>FARMACEUTICO</v>
          </cell>
          <cell r="F124" t="str">
            <v>FARMACIA OSPINO C.A</v>
          </cell>
          <cell r="G124" t="str">
            <v>J-300599419</v>
          </cell>
          <cell r="H124">
            <v>125</v>
          </cell>
        </row>
        <row r="125">
          <cell r="C125">
            <v>28623303</v>
          </cell>
          <cell r="D125">
            <v>45963</v>
          </cell>
          <cell r="E125" t="str">
            <v>CAJERO (A)</v>
          </cell>
          <cell r="F125" t="str">
            <v>FARMACIA OSPINO C.A</v>
          </cell>
          <cell r="G125" t="str">
            <v>J-300599419</v>
          </cell>
          <cell r="H125">
            <v>50</v>
          </cell>
        </row>
        <row r="126">
          <cell r="C126">
            <v>31306582</v>
          </cell>
          <cell r="D126">
            <v>45971</v>
          </cell>
          <cell r="E126" t="str">
            <v>AUX DE ALMACEN</v>
          </cell>
          <cell r="F126" t="str">
            <v>FARMACIA OSPINO C.A</v>
          </cell>
          <cell r="G126" t="str">
            <v>J-300599419</v>
          </cell>
          <cell r="H126">
            <v>50</v>
          </cell>
        </row>
        <row r="127">
          <cell r="C127">
            <v>29632750</v>
          </cell>
          <cell r="D127">
            <v>45819</v>
          </cell>
          <cell r="E127" t="str">
            <v>CAJERO (A)</v>
          </cell>
          <cell r="F127" t="str">
            <v>FARMALIANZA GUANARE, C.A</v>
          </cell>
          <cell r="G127" t="str">
            <v>J506041120</v>
          </cell>
          <cell r="H127">
            <v>60</v>
          </cell>
        </row>
        <row r="128">
          <cell r="C128">
            <v>27575066</v>
          </cell>
          <cell r="D128">
            <v>45832</v>
          </cell>
          <cell r="E128" t="str">
            <v>CAJERO (A)</v>
          </cell>
          <cell r="F128" t="str">
            <v>FARMALIANZA GUANARE, C.A</v>
          </cell>
          <cell r="G128" t="str">
            <v>J506041120</v>
          </cell>
          <cell r="H128">
            <v>60</v>
          </cell>
        </row>
        <row r="129">
          <cell r="C129">
            <v>21159739</v>
          </cell>
          <cell r="D129">
            <v>45819</v>
          </cell>
          <cell r="E129" t="str">
            <v>COOR ADMINISTRATIVO</v>
          </cell>
          <cell r="F129" t="str">
            <v>FARMALIANZA GUANARE, C.A</v>
          </cell>
          <cell r="G129" t="str">
            <v>J506041120</v>
          </cell>
          <cell r="H129">
            <v>70</v>
          </cell>
        </row>
        <row r="130">
          <cell r="C130">
            <v>27831998</v>
          </cell>
          <cell r="D130">
            <v>45819</v>
          </cell>
          <cell r="E130" t="str">
            <v>SUP. DE VENTAS</v>
          </cell>
          <cell r="F130" t="str">
            <v>FARMALIANZA GUANARE, C.A</v>
          </cell>
          <cell r="G130" t="str">
            <v>J506041120</v>
          </cell>
          <cell r="H130">
            <v>80</v>
          </cell>
        </row>
        <row r="131">
          <cell r="C131">
            <v>31272490</v>
          </cell>
          <cell r="D131">
            <v>45894</v>
          </cell>
          <cell r="E131" t="str">
            <v xml:space="preserve"> SUP. DE ALMACEN  </v>
          </cell>
          <cell r="F131" t="str">
            <v>FARMALIANZA GUANARE, C.A</v>
          </cell>
          <cell r="G131" t="str">
            <v>J506041120</v>
          </cell>
          <cell r="H131">
            <v>70</v>
          </cell>
        </row>
        <row r="132">
          <cell r="C132">
            <v>4239029</v>
          </cell>
          <cell r="D132">
            <v>45839</v>
          </cell>
          <cell r="E132" t="str">
            <v>REGENTE</v>
          </cell>
          <cell r="F132" t="str">
            <v>FARMALIANZA GUANARE, C.A</v>
          </cell>
          <cell r="G132" t="str">
            <v>J506041120</v>
          </cell>
          <cell r="H132">
            <v>220</v>
          </cell>
        </row>
        <row r="133">
          <cell r="C133">
            <v>27220354</v>
          </cell>
          <cell r="D133">
            <v>45957</v>
          </cell>
          <cell r="E133" t="str">
            <v>CAJERO (A)</v>
          </cell>
          <cell r="F133" t="str">
            <v>FARMALIANZA GUANARE, C.A</v>
          </cell>
          <cell r="G133" t="str">
            <v>J506041120</v>
          </cell>
          <cell r="H133">
            <v>50</v>
          </cell>
        </row>
        <row r="134">
          <cell r="C134">
            <v>30637270</v>
          </cell>
          <cell r="D134">
            <v>45971</v>
          </cell>
          <cell r="E134" t="str">
            <v>GERENTE</v>
          </cell>
          <cell r="F134" t="str">
            <v>FARMACIA DEL LLANO S.A</v>
          </cell>
          <cell r="G134" t="str">
            <v>J301360354</v>
          </cell>
          <cell r="H134">
            <v>100</v>
          </cell>
        </row>
        <row r="135">
          <cell r="C135">
            <v>31327465</v>
          </cell>
          <cell r="D135">
            <v>45971</v>
          </cell>
          <cell r="E135" t="str">
            <v>CAJERO (A)</v>
          </cell>
          <cell r="F135" t="str">
            <v>FARMACIA DEL LLANO S.A</v>
          </cell>
          <cell r="G135" t="str">
            <v>J301360354</v>
          </cell>
          <cell r="H135">
            <v>60</v>
          </cell>
        </row>
        <row r="136">
          <cell r="C136">
            <v>26453977</v>
          </cell>
          <cell r="D136">
            <v>45971</v>
          </cell>
          <cell r="E136" t="str">
            <v>AUX ALMACÉN</v>
          </cell>
          <cell r="F136" t="str">
            <v>FARMACIA DEL LLANO S.A</v>
          </cell>
          <cell r="G136" t="str">
            <v>J301360354</v>
          </cell>
          <cell r="H136">
            <v>60</v>
          </cell>
        </row>
        <row r="137">
          <cell r="C137">
            <v>30329365</v>
          </cell>
          <cell r="D137">
            <v>45971</v>
          </cell>
          <cell r="E137" t="str">
            <v>AUX ALMACÉN</v>
          </cell>
          <cell r="F137" t="str">
            <v>FARMACIA DEL LLANO S.A</v>
          </cell>
          <cell r="G137" t="str">
            <v>J301360354</v>
          </cell>
          <cell r="H137">
            <v>50</v>
          </cell>
        </row>
        <row r="138">
          <cell r="C138">
            <v>30074639</v>
          </cell>
          <cell r="D138">
            <v>45971</v>
          </cell>
          <cell r="E138" t="str">
            <v>AUX ALMACÉN</v>
          </cell>
          <cell r="F138" t="str">
            <v>FARMACIA DEL LLANO S.A</v>
          </cell>
          <cell r="G138" t="str">
            <v>J301360354</v>
          </cell>
          <cell r="H138">
            <v>50</v>
          </cell>
        </row>
        <row r="139">
          <cell r="C139">
            <v>17945734</v>
          </cell>
          <cell r="D139">
            <v>45971</v>
          </cell>
          <cell r="E139" t="str">
            <v>CHOFER</v>
          </cell>
          <cell r="F139" t="str">
            <v>FARMACIA DEL LLANO S.A</v>
          </cell>
          <cell r="G139" t="str">
            <v>J301360354</v>
          </cell>
          <cell r="H139">
            <v>50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F2DFFAD-497C-4CD1-9549-8FEC9F2B157E}">
  <we:reference id="wa200001584" version="3.0.5.6" store="es-ES" storeType="OMEX"/>
  <we:alternateReferences>
    <we:reference id="wa200001584" version="3.0.5.6" store="es-E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12"/>
  <sheetViews>
    <sheetView showGridLines="0" zoomScale="76" zoomScaleNormal="70" zoomScaleSheetLayoutView="100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M5" sqref="M5"/>
    </sheetView>
  </sheetViews>
  <sheetFormatPr baseColWidth="10" defaultColWidth="11.42578125" defaultRowHeight="29.25" customHeight="1" x14ac:dyDescent="0.25"/>
  <cols>
    <col min="1" max="1" width="2.7109375" style="180" customWidth="1"/>
    <col min="2" max="2" width="21.85546875" style="180" customWidth="1"/>
    <col min="3" max="3" width="11.42578125" style="180" bestFit="1" customWidth="1"/>
    <col min="4" max="4" width="11.42578125" style="180" customWidth="1"/>
    <col min="5" max="5" width="18.42578125" style="180" customWidth="1"/>
    <col min="6" max="6" width="19.85546875" style="180" bestFit="1" customWidth="1"/>
    <col min="7" max="7" width="14.140625" style="180" customWidth="1"/>
    <col min="8" max="8" width="13.7109375" style="180" customWidth="1"/>
    <col min="9" max="9" width="21.5703125" style="180" bestFit="1" customWidth="1"/>
    <col min="10" max="10" width="11.42578125" style="180"/>
    <col min="11" max="11" width="16.7109375" style="180" customWidth="1"/>
    <col min="12" max="12" width="26.85546875" style="180" customWidth="1"/>
    <col min="13" max="13" width="18" style="180" customWidth="1"/>
    <col min="14" max="14" width="8.28515625" style="180" bestFit="1" customWidth="1"/>
    <col min="15" max="15" width="12.5703125" style="180" hidden="1" customWidth="1"/>
    <col min="16" max="16" width="11.28515625" style="180" hidden="1" customWidth="1"/>
    <col min="17" max="18" width="11.42578125" style="180" customWidth="1"/>
    <col min="19" max="16384" width="11.42578125" style="180"/>
  </cols>
  <sheetData>
    <row r="1" spans="2:16" ht="29.25" customHeight="1" x14ac:dyDescent="0.25">
      <c r="B1" s="245" t="str">
        <f>+[1]LISTADOS!A4</f>
        <v>SEMANA DEL 08/12/2025 AL 14/12/2025</v>
      </c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7"/>
      <c r="N1" s="179"/>
      <c r="O1" s="179"/>
    </row>
    <row r="2" spans="2:16" ht="101.25" customHeight="1" x14ac:dyDescent="0.25">
      <c r="B2" s="181" t="s">
        <v>9</v>
      </c>
      <c r="C2" s="182" t="s">
        <v>10</v>
      </c>
      <c r="D2" s="183" t="s">
        <v>11</v>
      </c>
      <c r="E2" s="182" t="s">
        <v>12</v>
      </c>
      <c r="F2" s="183" t="s">
        <v>13</v>
      </c>
      <c r="G2" s="183" t="s">
        <v>136</v>
      </c>
      <c r="H2" s="184" t="s">
        <v>16</v>
      </c>
      <c r="I2" s="184" t="s">
        <v>17</v>
      </c>
      <c r="J2" s="184" t="s">
        <v>18</v>
      </c>
      <c r="K2" s="183" t="s">
        <v>137</v>
      </c>
      <c r="L2" s="183" t="s">
        <v>138</v>
      </c>
      <c r="M2" s="184" t="s">
        <v>45</v>
      </c>
      <c r="N2" s="185" t="s">
        <v>139</v>
      </c>
      <c r="O2" s="185" t="s">
        <v>140</v>
      </c>
      <c r="P2" s="180" t="s">
        <v>141</v>
      </c>
    </row>
    <row r="3" spans="2:16" s="196" customFormat="1" ht="29.25" customHeight="1" x14ac:dyDescent="0.2">
      <c r="B3" s="186" t="s">
        <v>48</v>
      </c>
      <c r="C3" s="187">
        <v>15906403</v>
      </c>
      <c r="D3" s="188">
        <v>45362</v>
      </c>
      <c r="E3" s="189" t="s">
        <v>92</v>
      </c>
      <c r="F3" s="190" t="s">
        <v>49</v>
      </c>
      <c r="G3" s="191" t="s">
        <v>142</v>
      </c>
      <c r="H3" s="70" t="s">
        <v>66</v>
      </c>
      <c r="I3" s="70" t="s">
        <v>143</v>
      </c>
      <c r="J3" s="70" t="s">
        <v>54</v>
      </c>
      <c r="K3" s="192">
        <f>VLOOKUP(C3,'CALCULO BS'!$C$7:AT$95,44,0)</f>
        <v>4609.916666666667</v>
      </c>
      <c r="L3" s="192">
        <f>VLOOKUP(C3,'CALCULO BONO '!$B$8:P$122,12,0)</f>
        <v>65626.599999999991</v>
      </c>
      <c r="M3" s="193"/>
      <c r="N3" s="194">
        <f>+K3+L3</f>
        <v>70236.516666666663</v>
      </c>
      <c r="O3" s="195">
        <f>+N3/LISTADOS!Q$5</f>
        <v>218.78490068425589</v>
      </c>
      <c r="P3" s="196">
        <f>VLOOKUP(C3,LISTADOS!$C$7:Q$19,11,0)</f>
        <v>220</v>
      </c>
    </row>
    <row r="4" spans="2:16" ht="33" customHeight="1" x14ac:dyDescent="0.2">
      <c r="B4" s="186" t="s">
        <v>56</v>
      </c>
      <c r="C4" s="187">
        <v>30329814</v>
      </c>
      <c r="D4" s="188">
        <v>45136</v>
      </c>
      <c r="E4" s="189" t="s">
        <v>88</v>
      </c>
      <c r="F4" s="190" t="s">
        <v>49</v>
      </c>
      <c r="G4" s="191" t="s">
        <v>142</v>
      </c>
      <c r="H4" s="70" t="s">
        <v>66</v>
      </c>
      <c r="I4" s="70" t="s">
        <v>144</v>
      </c>
      <c r="J4" s="64" t="s">
        <v>59</v>
      </c>
      <c r="K4" s="192">
        <f>VLOOKUP(C4,'CALCULO BS'!C8:AT96,44,0)</f>
        <v>3047.3033333333324</v>
      </c>
      <c r="L4" s="192">
        <f>VLOOKUP(C4,'CALCULO BONO '!$B$8:P$122,12,0)</f>
        <v>35723.599999999999</v>
      </c>
      <c r="M4" s="197"/>
      <c r="N4" s="194">
        <f t="shared" ref="N4:N10" si="0">+K4+L4</f>
        <v>38770.903333333328</v>
      </c>
      <c r="O4" s="195">
        <f>+N4/LISTADOS!Q$5</f>
        <v>120.77034337393182</v>
      </c>
      <c r="P4" s="196">
        <f>VLOOKUP(C4,LISTADOS!$C$7:Q$19,11,0)</f>
        <v>120</v>
      </c>
    </row>
    <row r="5" spans="2:16" s="196" customFormat="1" ht="29.25" customHeight="1" x14ac:dyDescent="0.2">
      <c r="B5" s="186" t="s">
        <v>61</v>
      </c>
      <c r="C5" s="187">
        <v>31272373</v>
      </c>
      <c r="D5" s="188">
        <v>44998</v>
      </c>
      <c r="E5" s="189" t="s">
        <v>89</v>
      </c>
      <c r="F5" s="190" t="s">
        <v>49</v>
      </c>
      <c r="G5" s="191" t="s">
        <v>142</v>
      </c>
      <c r="H5" s="70" t="s">
        <v>66</v>
      </c>
      <c r="I5" s="70" t="s">
        <v>145</v>
      </c>
      <c r="J5" s="70" t="s">
        <v>59</v>
      </c>
      <c r="K5" s="192">
        <f>VLOOKUP(C5,'CALCULO BS'!$C$7:AT$95,44,0)</f>
        <v>3171.5999999999995</v>
      </c>
      <c r="L5" s="192">
        <f>VLOOKUP(C5,'CALCULO BONO '!$B$8:P$122,12,0)</f>
        <v>29302.999999999996</v>
      </c>
      <c r="M5" s="70"/>
      <c r="N5" s="194">
        <f t="shared" si="0"/>
        <v>32474.599999999995</v>
      </c>
      <c r="O5" s="195">
        <f>+N5/LISTADOS!Q$5</f>
        <v>101.15752421892034</v>
      </c>
      <c r="P5" s="196">
        <f>VLOOKUP(C5,LISTADOS!$C$7:Q$19,11,0)</f>
        <v>100</v>
      </c>
    </row>
    <row r="6" spans="2:16" s="196" customFormat="1" ht="29.25" customHeight="1" x14ac:dyDescent="0.2">
      <c r="B6" s="186" t="s">
        <v>65</v>
      </c>
      <c r="C6" s="187">
        <v>12647713</v>
      </c>
      <c r="D6" s="188">
        <v>45079</v>
      </c>
      <c r="E6" s="189" t="s">
        <v>146</v>
      </c>
      <c r="F6" s="190" t="s">
        <v>49</v>
      </c>
      <c r="G6" s="191" t="s">
        <v>142</v>
      </c>
      <c r="H6" s="70" t="s">
        <v>66</v>
      </c>
      <c r="I6" s="70" t="s">
        <v>147</v>
      </c>
      <c r="J6" s="70" t="s">
        <v>59</v>
      </c>
      <c r="K6" s="192">
        <f>VLOOKUP(C6,'CALCULO BS'!$C$7:AT$95,44,0)</f>
        <v>3953.25</v>
      </c>
      <c r="L6" s="192">
        <f>VLOOKUP(C6,'CALCULO BONO '!$B$8:P$122,12,0)</f>
        <v>40944.199999999997</v>
      </c>
      <c r="M6" s="70"/>
      <c r="N6" s="194">
        <f t="shared" si="0"/>
        <v>44897.45</v>
      </c>
      <c r="O6" s="195">
        <f>+N6/LISTADOS!Q$5</f>
        <v>139.85437498053142</v>
      </c>
      <c r="P6" s="196">
        <f>VLOOKUP(C6,LISTADOS!$C$7:Q$19,11,0)</f>
        <v>140</v>
      </c>
    </row>
    <row r="7" spans="2:16" s="196" customFormat="1" ht="29.25" customHeight="1" x14ac:dyDescent="0.2">
      <c r="B7" s="186" t="s">
        <v>76</v>
      </c>
      <c r="C7" s="187">
        <v>28427378</v>
      </c>
      <c r="D7" s="188">
        <v>45708</v>
      </c>
      <c r="E7" s="189" t="s">
        <v>90</v>
      </c>
      <c r="F7" s="190" t="s">
        <v>49</v>
      </c>
      <c r="G7" s="191" t="s">
        <v>142</v>
      </c>
      <c r="H7" s="70" t="s">
        <v>66</v>
      </c>
      <c r="I7" s="70" t="s">
        <v>148</v>
      </c>
      <c r="J7" s="70" t="s">
        <v>59</v>
      </c>
      <c r="K7" s="192">
        <f>VLOOKUP(C7,'CALCULO BS'!$C$7:AT$95,44,0)</f>
        <v>3608.2260000000006</v>
      </c>
      <c r="L7" s="192">
        <f>VLOOKUP(C7,'CALCULO BONO '!$B$8:P$122,12,0)</f>
        <v>40944.199999999997</v>
      </c>
      <c r="M7" s="70"/>
      <c r="N7" s="194">
        <f t="shared" si="0"/>
        <v>44552.425999999999</v>
      </c>
      <c r="O7" s="195">
        <f>+N7/LISTADOS!Q$5</f>
        <v>138.77963430209016</v>
      </c>
      <c r="P7" s="196">
        <f>VLOOKUP(C7,LISTADOS!$C$7:Q$19,11,0)</f>
        <v>140</v>
      </c>
    </row>
    <row r="8" spans="2:16" s="196" customFormat="1" ht="29.25" customHeight="1" x14ac:dyDescent="0.2">
      <c r="B8" s="186" t="s">
        <v>80</v>
      </c>
      <c r="C8" s="187">
        <v>26940897</v>
      </c>
      <c r="D8" s="188">
        <v>45712</v>
      </c>
      <c r="E8" s="189" t="s">
        <v>93</v>
      </c>
      <c r="F8" s="190" t="s">
        <v>49</v>
      </c>
      <c r="G8" s="191" t="s">
        <v>142</v>
      </c>
      <c r="H8" s="70" t="s">
        <v>66</v>
      </c>
      <c r="I8" s="70" t="s">
        <v>149</v>
      </c>
      <c r="J8" s="70" t="s">
        <v>59</v>
      </c>
      <c r="K8" s="192">
        <f>VLOOKUP(C8,'CALCULO BS'!$C$7:AT$95,44,0)</f>
        <v>5618.25</v>
      </c>
      <c r="L8" s="192">
        <f>VLOOKUP(C8,'CALCULO BONO '!$B$8:P$122,12,0)</f>
        <v>65626.599999999991</v>
      </c>
      <c r="M8" s="70"/>
      <c r="N8" s="194">
        <f t="shared" si="0"/>
        <v>71244.849999999991</v>
      </c>
      <c r="O8" s="195">
        <f>+N8/LISTADOS!Q$5</f>
        <v>221.92583247671556</v>
      </c>
      <c r="P8" s="196">
        <f>VLOOKUP(C8,LISTADOS!$C$7:Q$19,11,0)</f>
        <v>220</v>
      </c>
    </row>
    <row r="9" spans="2:16" ht="29.25" customHeight="1" x14ac:dyDescent="0.2">
      <c r="B9" s="186" t="s">
        <v>82</v>
      </c>
      <c r="C9" s="187">
        <v>18251792</v>
      </c>
      <c r="D9" s="188">
        <v>45323</v>
      </c>
      <c r="E9" s="189" t="s">
        <v>83</v>
      </c>
      <c r="F9" s="190" t="s">
        <v>49</v>
      </c>
      <c r="G9" s="191" t="s">
        <v>142</v>
      </c>
      <c r="H9" s="70" t="s">
        <v>66</v>
      </c>
      <c r="I9" s="70" t="s">
        <v>150</v>
      </c>
      <c r="J9" s="64" t="s">
        <v>59</v>
      </c>
      <c r="K9" s="192">
        <f>VLOOKUP(C9,'CALCULO BS'!$C$7:AT$95,44,0)</f>
        <v>39720.712500000001</v>
      </c>
      <c r="L9" s="192">
        <v>0</v>
      </c>
      <c r="M9" s="64"/>
      <c r="N9" s="194">
        <f t="shared" si="0"/>
        <v>39720.712500000001</v>
      </c>
      <c r="O9" s="195">
        <f>+N9/LISTADOS!Q$5</f>
        <v>123.72897392767032</v>
      </c>
      <c r="P9" s="196">
        <f>VLOOKUP(C9,LISTADOS!$C$7:Q$19,11,0)</f>
        <v>250</v>
      </c>
    </row>
    <row r="10" spans="2:16" ht="29.25" customHeight="1" x14ac:dyDescent="0.2">
      <c r="B10" s="186" t="s">
        <v>85</v>
      </c>
      <c r="C10" s="187">
        <v>30240358</v>
      </c>
      <c r="D10" s="198">
        <v>45999</v>
      </c>
      <c r="E10" s="189" t="s">
        <v>86</v>
      </c>
      <c r="F10" s="190" t="s">
        <v>49</v>
      </c>
      <c r="G10" s="191" t="s">
        <v>151</v>
      </c>
      <c r="H10" s="70" t="s">
        <v>57</v>
      </c>
      <c r="I10" s="70" t="s">
        <v>87</v>
      </c>
      <c r="J10" s="64" t="s">
        <v>59</v>
      </c>
      <c r="K10" s="192">
        <f>VLOOKUP(C10,'CALCULO BS'!$C$7:AT$95,44,0)</f>
        <v>2925.8999999999996</v>
      </c>
      <c r="L10" s="192">
        <f>VLOOKUP(C10,'CALCULO BONO '!$B$8:P$122,12,0)</f>
        <v>22882.399999999998</v>
      </c>
      <c r="M10" s="64"/>
      <c r="N10" s="194">
        <f t="shared" si="0"/>
        <v>25808.299999999996</v>
      </c>
      <c r="O10" s="195">
        <f>+N10/LISTADOS!Q$5</f>
        <v>80.392175186119673</v>
      </c>
      <c r="P10" s="196">
        <f>VLOOKUP(C10,LISTADOS!$C$7:Q$19,11,0)</f>
        <v>80</v>
      </c>
    </row>
    <row r="11" spans="2:16" s="196" customFormat="1" ht="29.25" customHeight="1" x14ac:dyDescent="0.2">
      <c r="B11" s="199"/>
      <c r="C11" s="180"/>
      <c r="D11" s="180"/>
      <c r="E11" s="180"/>
      <c r="F11" s="180"/>
      <c r="G11" s="199"/>
      <c r="H11" s="199"/>
      <c r="I11" s="199"/>
      <c r="J11" s="200" t="s">
        <v>4</v>
      </c>
      <c r="K11" s="201">
        <f>SUM(K3:K10)</f>
        <v>66655.158500000005</v>
      </c>
      <c r="L11" s="201">
        <f>SUM(L3:L10)</f>
        <v>301050.59999999998</v>
      </c>
      <c r="M11" s="202"/>
    </row>
    <row r="12" spans="2:16" ht="29.25" customHeight="1" x14ac:dyDescent="0.2">
      <c r="L12" s="203"/>
      <c r="P12" s="196"/>
    </row>
  </sheetData>
  <autoFilter ref="B2:M12" xr:uid="{00000000-0009-0000-0000-000000000000}"/>
  <mergeCells count="1">
    <mergeCell ref="B1:M1"/>
  </mergeCells>
  <conditionalFormatting sqref="B14:B1048576 B1:B12">
    <cfRule type="duplicateValues" dxfId="0" priority="7"/>
  </conditionalFormatting>
  <conditionalFormatting sqref="H2:J2">
    <cfRule type="colorScale" priority="10">
      <colorScale>
        <cfvo type="min"/>
        <cfvo type="max"/>
        <color rgb="FFF8696B"/>
        <color rgb="FFFCFCFF"/>
      </colorScale>
    </cfRule>
  </conditionalFormatting>
  <conditionalFormatting sqref="K2">
    <cfRule type="colorScale" priority="4">
      <colorScale>
        <cfvo type="min"/>
        <cfvo type="max"/>
        <color rgb="FFF8696B"/>
        <color rgb="FFFCFCFF"/>
      </colorScale>
    </cfRule>
  </conditionalFormatting>
  <conditionalFormatting sqref="L2">
    <cfRule type="colorScale" priority="9">
      <colorScale>
        <cfvo type="min"/>
        <cfvo type="max"/>
        <color rgb="FFF8696B"/>
        <color rgb="FFFCFCFF"/>
      </colorScale>
    </cfRule>
  </conditionalFormatting>
  <conditionalFormatting sqref="M2">
    <cfRule type="colorScale" priority="8">
      <colorScale>
        <cfvo type="min"/>
        <cfvo type="max"/>
        <color rgb="FFF8696B"/>
        <color rgb="FFFCFCFF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7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S26"/>
  <sheetViews>
    <sheetView showGridLines="0" zoomScaleNormal="100" workbookViewId="0">
      <pane xSplit="6" ySplit="6" topLeftCell="L7" activePane="bottomRight" state="frozen"/>
      <selection pane="topRight" activeCell="G1" sqref="G1"/>
      <selection pane="bottomLeft" activeCell="A7" sqref="A7"/>
      <selection pane="bottomRight" activeCell="O10" sqref="O10"/>
    </sheetView>
  </sheetViews>
  <sheetFormatPr baseColWidth="10" defaultColWidth="11.42578125" defaultRowHeight="12" customHeight="1" x14ac:dyDescent="0.25"/>
  <cols>
    <col min="1" max="1" width="4" bestFit="1" customWidth="1"/>
    <col min="2" max="2" width="25.7109375" customWidth="1"/>
    <col min="3" max="3" width="10.28515625" customWidth="1"/>
    <col min="4" max="4" width="10.5703125" customWidth="1"/>
    <col min="5" max="5" width="18.7109375" customWidth="1"/>
    <col min="6" max="6" width="29.42578125" customWidth="1"/>
    <col min="7" max="7" width="26.7109375" customWidth="1"/>
    <col min="8" max="8" width="10.42578125" customWidth="1"/>
    <col min="9" max="9" width="23" customWidth="1"/>
    <col min="10" max="10" width="21.5703125" customWidth="1"/>
    <col min="11" max="11" width="21.140625" customWidth="1"/>
    <col min="12" max="12" width="11.7109375" customWidth="1"/>
    <col min="13" max="13" width="11" customWidth="1"/>
    <col min="14" max="14" width="12.7109375" customWidth="1"/>
    <col min="15" max="15" width="14.7109375" customWidth="1"/>
    <col min="16" max="16" width="14.5703125" bestFit="1" customWidth="1"/>
    <col min="17" max="17" width="14.28515625" bestFit="1" customWidth="1"/>
  </cols>
  <sheetData>
    <row r="2" spans="1:19" ht="20.25" customHeight="1" x14ac:dyDescent="0.25">
      <c r="B2" s="204"/>
      <c r="C2" s="204"/>
      <c r="D2" s="204"/>
      <c r="E2" s="204"/>
      <c r="F2" s="204"/>
      <c r="G2" s="205" t="s">
        <v>153</v>
      </c>
      <c r="H2" s="204"/>
      <c r="I2" s="204"/>
      <c r="J2" s="204"/>
      <c r="K2" s="204"/>
      <c r="L2" s="204"/>
      <c r="M2" s="204"/>
      <c r="N2" s="204"/>
      <c r="O2" s="204"/>
      <c r="P2" s="206"/>
      <c r="Q2" s="207"/>
    </row>
    <row r="3" spans="1:19" ht="20.25" customHeight="1" x14ac:dyDescent="0.25">
      <c r="A3" s="208"/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10"/>
      <c r="Q3" s="211"/>
    </row>
    <row r="4" spans="1:19" ht="22.5" customHeight="1" x14ac:dyDescent="0.25">
      <c r="A4" s="248" t="s">
        <v>154</v>
      </c>
      <c r="B4" s="249"/>
      <c r="C4" s="249"/>
      <c r="D4" s="249"/>
      <c r="E4" s="249"/>
      <c r="F4" s="249"/>
      <c r="G4" s="249"/>
      <c r="H4" s="249"/>
      <c r="I4" s="249"/>
      <c r="J4" s="249"/>
      <c r="K4" s="249"/>
      <c r="L4" s="249"/>
      <c r="M4" s="249"/>
      <c r="N4" s="249"/>
      <c r="O4" s="249"/>
      <c r="P4" s="212"/>
      <c r="Q4" s="213"/>
    </row>
    <row r="5" spans="1:19" ht="11.25" customHeight="1" x14ac:dyDescent="0.25">
      <c r="A5" s="250" t="s">
        <v>155</v>
      </c>
      <c r="B5" s="250"/>
      <c r="C5" s="250"/>
      <c r="D5" s="250"/>
      <c r="E5" s="250"/>
      <c r="F5" s="250"/>
      <c r="G5" s="250"/>
      <c r="H5" s="250"/>
      <c r="I5" s="250"/>
      <c r="J5" s="250"/>
      <c r="K5" s="250"/>
      <c r="L5" s="250"/>
      <c r="M5" s="250"/>
      <c r="N5" s="250"/>
      <c r="O5" s="250"/>
      <c r="P5" s="214" t="s">
        <v>156</v>
      </c>
      <c r="Q5" s="215">
        <v>321.02999999999997</v>
      </c>
      <c r="R5" s="4"/>
    </row>
    <row r="6" spans="1:19" ht="27" customHeight="1" x14ac:dyDescent="0.25">
      <c r="A6" s="216" t="s">
        <v>8</v>
      </c>
      <c r="B6" s="216" t="s">
        <v>9</v>
      </c>
      <c r="C6" s="216" t="s">
        <v>10</v>
      </c>
      <c r="D6" s="216" t="s">
        <v>11</v>
      </c>
      <c r="E6" s="216" t="s">
        <v>157</v>
      </c>
      <c r="F6" s="216" t="s">
        <v>6</v>
      </c>
      <c r="G6" s="217" t="s">
        <v>13</v>
      </c>
      <c r="H6" s="217" t="s">
        <v>14</v>
      </c>
      <c r="I6" s="217" t="s">
        <v>15</v>
      </c>
      <c r="J6" s="218" t="s">
        <v>16</v>
      </c>
      <c r="K6" s="218" t="s">
        <v>158</v>
      </c>
      <c r="L6" s="218" t="s">
        <v>159</v>
      </c>
      <c r="M6" s="219" t="s">
        <v>164</v>
      </c>
      <c r="N6" s="219" t="s">
        <v>167</v>
      </c>
      <c r="O6" s="219" t="s">
        <v>165</v>
      </c>
      <c r="P6" s="219" t="s">
        <v>160</v>
      </c>
      <c r="Q6" s="220" t="s">
        <v>161</v>
      </c>
      <c r="R6" s="99"/>
    </row>
    <row r="7" spans="1:19" s="231" customFormat="1" ht="12" customHeight="1" x14ac:dyDescent="0.2">
      <c r="A7" s="221">
        <v>1</v>
      </c>
      <c r="B7" s="222" t="s">
        <v>48</v>
      </c>
      <c r="C7" s="223">
        <v>15906403</v>
      </c>
      <c r="D7" s="73">
        <v>45362</v>
      </c>
      <c r="E7" s="224" t="s">
        <v>92</v>
      </c>
      <c r="F7" s="225" t="s">
        <v>49</v>
      </c>
      <c r="G7" s="225" t="s">
        <v>49</v>
      </c>
      <c r="H7" s="226" t="s">
        <v>50</v>
      </c>
      <c r="I7" s="227" t="s">
        <v>51</v>
      </c>
      <c r="J7" s="228" t="s">
        <v>52</v>
      </c>
      <c r="K7" s="228" t="s">
        <v>53</v>
      </c>
      <c r="L7" s="228" t="s">
        <v>54</v>
      </c>
      <c r="M7" s="229">
        <f>110*2</f>
        <v>220</v>
      </c>
      <c r="N7" s="241">
        <f>2500*4</f>
        <v>10000</v>
      </c>
      <c r="O7" s="74">
        <f>2500*2</f>
        <v>5000</v>
      </c>
      <c r="P7" s="230">
        <f t="shared" ref="P7:P19" si="0">M7*$Q$5</f>
        <v>70626.599999999991</v>
      </c>
      <c r="Q7" s="230">
        <f>P7-O7</f>
        <v>65626.599999999991</v>
      </c>
      <c r="R7" s="232">
        <f>+Q7/Q5</f>
        <v>204.42513160763789</v>
      </c>
      <c r="S7" s="233"/>
    </row>
    <row r="8" spans="1:19" s="231" customFormat="1" ht="12" customHeight="1" x14ac:dyDescent="0.2">
      <c r="A8" s="234">
        <f>A7+1</f>
        <v>2</v>
      </c>
      <c r="B8" s="222" t="s">
        <v>56</v>
      </c>
      <c r="C8" s="72">
        <v>30329814</v>
      </c>
      <c r="D8" s="73">
        <v>45136</v>
      </c>
      <c r="E8" s="71" t="s">
        <v>88</v>
      </c>
      <c r="F8" s="225" t="s">
        <v>49</v>
      </c>
      <c r="G8" s="225" t="s">
        <v>49</v>
      </c>
      <c r="H8" s="226" t="s">
        <v>50</v>
      </c>
      <c r="I8" s="227" t="s">
        <v>51</v>
      </c>
      <c r="J8" s="228" t="s">
        <v>57</v>
      </c>
      <c r="K8" s="228" t="s">
        <v>58</v>
      </c>
      <c r="L8" s="228" t="s">
        <v>59</v>
      </c>
      <c r="M8" s="235">
        <f>60*2</f>
        <v>120</v>
      </c>
      <c r="N8" s="242">
        <f>1400*4</f>
        <v>5600</v>
      </c>
      <c r="O8" s="74">
        <f>1400*2</f>
        <v>2800</v>
      </c>
      <c r="P8" s="230">
        <f t="shared" si="0"/>
        <v>38523.599999999999</v>
      </c>
      <c r="Q8" s="230">
        <f>P8-O8</f>
        <v>35723.599999999999</v>
      </c>
      <c r="R8" s="232">
        <f>+O7/Q5</f>
        <v>15.574868392362086</v>
      </c>
      <c r="S8" s="233"/>
    </row>
    <row r="9" spans="1:19" s="231" customFormat="1" ht="12" customHeight="1" x14ac:dyDescent="0.2">
      <c r="A9" s="234">
        <f t="shared" ref="A9:A19" si="1">A8+1</f>
        <v>3</v>
      </c>
      <c r="B9" s="236" t="s">
        <v>61</v>
      </c>
      <c r="C9" s="72">
        <v>31272373</v>
      </c>
      <c r="D9" s="73">
        <v>44998</v>
      </c>
      <c r="E9" s="71" t="s">
        <v>89</v>
      </c>
      <c r="F9" s="225" t="s">
        <v>49</v>
      </c>
      <c r="G9" s="225" t="s">
        <v>49</v>
      </c>
      <c r="H9" s="226" t="s">
        <v>50</v>
      </c>
      <c r="I9" s="227" t="s">
        <v>51</v>
      </c>
      <c r="J9" s="228" t="s">
        <v>57</v>
      </c>
      <c r="K9" s="228" t="s">
        <v>62</v>
      </c>
      <c r="L9" s="228" t="s">
        <v>59</v>
      </c>
      <c r="M9" s="235">
        <f>50*2</f>
        <v>100</v>
      </c>
      <c r="N9" s="242">
        <f t="shared" ref="N9:N10" si="2">1400*4</f>
        <v>5600</v>
      </c>
      <c r="O9" s="74">
        <f t="shared" ref="O9:O16" si="3">1400*2</f>
        <v>2800</v>
      </c>
      <c r="P9" s="230">
        <f t="shared" si="0"/>
        <v>32102.999999999996</v>
      </c>
      <c r="Q9" s="230">
        <f t="shared" ref="Q9:Q18" si="4">P9-O9</f>
        <v>29302.999999999996</v>
      </c>
      <c r="R9" s="232"/>
      <c r="S9" s="233"/>
    </row>
    <row r="10" spans="1:19" s="231" customFormat="1" ht="12" customHeight="1" x14ac:dyDescent="0.2">
      <c r="A10" s="234">
        <f t="shared" si="1"/>
        <v>4</v>
      </c>
      <c r="B10" s="222" t="s">
        <v>63</v>
      </c>
      <c r="C10" s="72">
        <v>19031701</v>
      </c>
      <c r="D10" s="73">
        <v>45474</v>
      </c>
      <c r="E10" s="71" t="s">
        <v>89</v>
      </c>
      <c r="F10" s="225" t="s">
        <v>49</v>
      </c>
      <c r="G10" s="225" t="s">
        <v>49</v>
      </c>
      <c r="H10" s="226" t="s">
        <v>50</v>
      </c>
      <c r="I10" s="227" t="s">
        <v>51</v>
      </c>
      <c r="J10" s="228" t="s">
        <v>57</v>
      </c>
      <c r="K10" s="228" t="s">
        <v>64</v>
      </c>
      <c r="L10" s="228" t="s">
        <v>59</v>
      </c>
      <c r="M10" s="235">
        <f>50*2</f>
        <v>100</v>
      </c>
      <c r="N10" s="242">
        <f t="shared" si="2"/>
        <v>5600</v>
      </c>
      <c r="O10" s="74">
        <f t="shared" si="3"/>
        <v>2800</v>
      </c>
      <c r="P10" s="230">
        <f t="shared" si="0"/>
        <v>32102.999999999996</v>
      </c>
      <c r="Q10" s="230">
        <f t="shared" si="4"/>
        <v>29302.999999999996</v>
      </c>
      <c r="R10" s="232"/>
      <c r="S10" s="233"/>
    </row>
    <row r="11" spans="1:19" s="231" customFormat="1" ht="12" customHeight="1" x14ac:dyDescent="0.2">
      <c r="A11" s="234">
        <f t="shared" si="1"/>
        <v>5</v>
      </c>
      <c r="B11" s="222" t="s">
        <v>65</v>
      </c>
      <c r="C11" s="72">
        <v>12647713</v>
      </c>
      <c r="D11" s="73">
        <v>45079</v>
      </c>
      <c r="E11" s="71" t="s">
        <v>146</v>
      </c>
      <c r="F11" s="225" t="s">
        <v>49</v>
      </c>
      <c r="G11" s="225" t="s">
        <v>49</v>
      </c>
      <c r="H11" s="226" t="s">
        <v>50</v>
      </c>
      <c r="I11" s="227" t="s">
        <v>51</v>
      </c>
      <c r="J11" s="228" t="s">
        <v>66</v>
      </c>
      <c r="K11" s="228" t="s">
        <v>67</v>
      </c>
      <c r="L11" s="228" t="s">
        <v>59</v>
      </c>
      <c r="M11" s="235">
        <f>70*2</f>
        <v>140</v>
      </c>
      <c r="N11" s="242">
        <f>2000*4</f>
        <v>8000</v>
      </c>
      <c r="O11" s="74">
        <f>2000*2</f>
        <v>4000</v>
      </c>
      <c r="P11" s="230">
        <f t="shared" si="0"/>
        <v>44944.2</v>
      </c>
      <c r="Q11" s="230">
        <f>P11-O11</f>
        <v>40944.199999999997</v>
      </c>
      <c r="R11" s="232"/>
      <c r="S11" s="233"/>
    </row>
    <row r="12" spans="1:19" s="231" customFormat="1" ht="12" customHeight="1" x14ac:dyDescent="0.2">
      <c r="A12" s="234">
        <f t="shared" si="1"/>
        <v>6</v>
      </c>
      <c r="B12" s="236" t="s">
        <v>68</v>
      </c>
      <c r="C12" s="72">
        <v>13329198</v>
      </c>
      <c r="D12" s="73">
        <v>45378</v>
      </c>
      <c r="E12" s="71" t="s">
        <v>88</v>
      </c>
      <c r="F12" s="225" t="s">
        <v>49</v>
      </c>
      <c r="G12" s="225" t="s">
        <v>49</v>
      </c>
      <c r="H12" s="226" t="s">
        <v>50</v>
      </c>
      <c r="I12" s="227" t="s">
        <v>51</v>
      </c>
      <c r="J12" s="228" t="s">
        <v>69</v>
      </c>
      <c r="K12" s="228" t="s">
        <v>70</v>
      </c>
      <c r="L12" s="228" t="s">
        <v>59</v>
      </c>
      <c r="M12" s="235">
        <f>60*2</f>
        <v>120</v>
      </c>
      <c r="N12" s="242">
        <f>1400*4</f>
        <v>5600</v>
      </c>
      <c r="O12" s="74">
        <f t="shared" si="3"/>
        <v>2800</v>
      </c>
      <c r="P12" s="230">
        <f t="shared" si="0"/>
        <v>38523.599999999999</v>
      </c>
      <c r="Q12" s="230">
        <f t="shared" si="4"/>
        <v>35723.599999999999</v>
      </c>
      <c r="R12" s="232"/>
      <c r="S12" s="233"/>
    </row>
    <row r="13" spans="1:19" s="231" customFormat="1" ht="12" customHeight="1" x14ac:dyDescent="0.2">
      <c r="A13" s="234">
        <f t="shared" si="1"/>
        <v>7</v>
      </c>
      <c r="B13" s="222" t="s">
        <v>71</v>
      </c>
      <c r="C13" s="72">
        <v>27938750</v>
      </c>
      <c r="D13" s="73">
        <v>45474</v>
      </c>
      <c r="E13" s="71" t="s">
        <v>88</v>
      </c>
      <c r="F13" s="225" t="s">
        <v>49</v>
      </c>
      <c r="G13" s="225" t="s">
        <v>49</v>
      </c>
      <c r="H13" s="226" t="s">
        <v>50</v>
      </c>
      <c r="I13" s="227" t="s">
        <v>51</v>
      </c>
      <c r="J13" s="228" t="s">
        <v>57</v>
      </c>
      <c r="K13" s="228" t="s">
        <v>72</v>
      </c>
      <c r="L13" s="228" t="s">
        <v>54</v>
      </c>
      <c r="M13" s="235">
        <f>60*2</f>
        <v>120</v>
      </c>
      <c r="N13" s="242">
        <f t="shared" ref="N13:N14" si="5">1400*4</f>
        <v>5600</v>
      </c>
      <c r="O13" s="74">
        <f t="shared" si="3"/>
        <v>2800</v>
      </c>
      <c r="P13" s="230">
        <f t="shared" si="0"/>
        <v>38523.599999999999</v>
      </c>
      <c r="Q13" s="230">
        <f t="shared" si="4"/>
        <v>35723.599999999999</v>
      </c>
      <c r="R13" s="232"/>
      <c r="S13" s="233"/>
    </row>
    <row r="14" spans="1:19" s="231" customFormat="1" ht="12" customHeight="1" x14ac:dyDescent="0.2">
      <c r="A14" s="234">
        <f t="shared" si="1"/>
        <v>8</v>
      </c>
      <c r="B14" s="222" t="s">
        <v>73</v>
      </c>
      <c r="C14" s="72">
        <v>25016178</v>
      </c>
      <c r="D14" s="73">
        <v>45691</v>
      </c>
      <c r="E14" s="71" t="s">
        <v>88</v>
      </c>
      <c r="F14" s="225" t="s">
        <v>49</v>
      </c>
      <c r="G14" s="225" t="s">
        <v>49</v>
      </c>
      <c r="H14" s="226" t="s">
        <v>50</v>
      </c>
      <c r="I14" s="227" t="s">
        <v>51</v>
      </c>
      <c r="J14" s="228" t="s">
        <v>74</v>
      </c>
      <c r="K14" s="228" t="s">
        <v>75</v>
      </c>
      <c r="L14" s="228" t="s">
        <v>59</v>
      </c>
      <c r="M14" s="235">
        <f>60*2</f>
        <v>120</v>
      </c>
      <c r="N14" s="242">
        <f t="shared" si="5"/>
        <v>5600</v>
      </c>
      <c r="O14" s="74">
        <f t="shared" si="3"/>
        <v>2800</v>
      </c>
      <c r="P14" s="230">
        <f t="shared" si="0"/>
        <v>38523.599999999999</v>
      </c>
      <c r="Q14" s="230">
        <f t="shared" si="4"/>
        <v>35723.599999999999</v>
      </c>
      <c r="R14" s="232"/>
      <c r="S14" s="233"/>
    </row>
    <row r="15" spans="1:19" s="231" customFormat="1" ht="19.5" customHeight="1" x14ac:dyDescent="0.2">
      <c r="A15" s="234">
        <f t="shared" si="1"/>
        <v>9</v>
      </c>
      <c r="B15" s="222" t="s">
        <v>76</v>
      </c>
      <c r="C15" s="72">
        <v>28427378</v>
      </c>
      <c r="D15" s="73">
        <v>45708</v>
      </c>
      <c r="E15" s="71" t="s">
        <v>90</v>
      </c>
      <c r="F15" s="225" t="s">
        <v>49</v>
      </c>
      <c r="G15" s="225" t="s">
        <v>49</v>
      </c>
      <c r="H15" s="226" t="s">
        <v>50</v>
      </c>
      <c r="I15" s="227" t="s">
        <v>51</v>
      </c>
      <c r="J15" s="228" t="s">
        <v>57</v>
      </c>
      <c r="K15" s="228" t="s">
        <v>77</v>
      </c>
      <c r="L15" s="228" t="s">
        <v>59</v>
      </c>
      <c r="M15" s="235">
        <f>70*2</f>
        <v>140</v>
      </c>
      <c r="N15" s="242">
        <f>2000*4</f>
        <v>8000</v>
      </c>
      <c r="O15" s="74">
        <f>2000*2</f>
        <v>4000</v>
      </c>
      <c r="P15" s="230">
        <f t="shared" si="0"/>
        <v>44944.2</v>
      </c>
      <c r="Q15" s="230">
        <f t="shared" si="4"/>
        <v>40944.199999999997</v>
      </c>
      <c r="R15" s="232"/>
      <c r="S15" s="233"/>
    </row>
    <row r="16" spans="1:19" s="231" customFormat="1" ht="19.5" customHeight="1" x14ac:dyDescent="0.2">
      <c r="A16" s="234">
        <f t="shared" si="1"/>
        <v>10</v>
      </c>
      <c r="B16" s="222" t="s">
        <v>78</v>
      </c>
      <c r="C16" s="72">
        <v>29632132</v>
      </c>
      <c r="D16" s="73">
        <v>45712</v>
      </c>
      <c r="E16" s="71" t="s">
        <v>88</v>
      </c>
      <c r="F16" s="225" t="s">
        <v>49</v>
      </c>
      <c r="G16" s="225" t="s">
        <v>49</v>
      </c>
      <c r="H16" s="226" t="s">
        <v>50</v>
      </c>
      <c r="I16" s="227" t="s">
        <v>51</v>
      </c>
      <c r="J16" s="228" t="s">
        <v>66</v>
      </c>
      <c r="K16" s="228" t="s">
        <v>79</v>
      </c>
      <c r="L16" s="228" t="s">
        <v>59</v>
      </c>
      <c r="M16" s="235">
        <f>70*2</f>
        <v>140</v>
      </c>
      <c r="N16" s="242">
        <f>1400*4</f>
        <v>5600</v>
      </c>
      <c r="O16" s="74">
        <f t="shared" si="3"/>
        <v>2800</v>
      </c>
      <c r="P16" s="230">
        <f t="shared" si="0"/>
        <v>44944.2</v>
      </c>
      <c r="Q16" s="230">
        <f t="shared" si="4"/>
        <v>42144.2</v>
      </c>
      <c r="R16" s="232"/>
      <c r="S16" s="233"/>
    </row>
    <row r="17" spans="1:19" s="231" customFormat="1" ht="19.5" customHeight="1" x14ac:dyDescent="0.2">
      <c r="A17" s="234">
        <f t="shared" si="1"/>
        <v>11</v>
      </c>
      <c r="B17" s="222" t="s">
        <v>80</v>
      </c>
      <c r="C17" s="72">
        <v>26940897</v>
      </c>
      <c r="D17" s="237">
        <v>45712</v>
      </c>
      <c r="E17" s="224" t="s">
        <v>93</v>
      </c>
      <c r="F17" s="238" t="s">
        <v>49</v>
      </c>
      <c r="G17" s="238" t="s">
        <v>49</v>
      </c>
      <c r="H17" s="226" t="s">
        <v>50</v>
      </c>
      <c r="I17" s="227" t="s">
        <v>51</v>
      </c>
      <c r="J17" s="228" t="s">
        <v>66</v>
      </c>
      <c r="K17" s="228" t="s">
        <v>81</v>
      </c>
      <c r="L17" s="228" t="s">
        <v>59</v>
      </c>
      <c r="M17" s="239">
        <f>110*2</f>
        <v>220</v>
      </c>
      <c r="N17" s="243">
        <f>2500*4</f>
        <v>10000</v>
      </c>
      <c r="O17" s="74">
        <f>2500*2</f>
        <v>5000</v>
      </c>
      <c r="P17" s="230">
        <f t="shared" si="0"/>
        <v>70626.599999999991</v>
      </c>
      <c r="Q17" s="230">
        <f t="shared" si="4"/>
        <v>65626.599999999991</v>
      </c>
      <c r="R17" s="232"/>
      <c r="S17" s="233"/>
    </row>
    <row r="18" spans="1:19" s="231" customFormat="1" ht="15" customHeight="1" x14ac:dyDescent="0.2">
      <c r="A18" s="234">
        <f t="shared" si="1"/>
        <v>12</v>
      </c>
      <c r="B18" s="222" t="s">
        <v>82</v>
      </c>
      <c r="C18" s="72">
        <v>18251792</v>
      </c>
      <c r="D18" s="237">
        <v>45323</v>
      </c>
      <c r="E18" s="71" t="s">
        <v>83</v>
      </c>
      <c r="F18" s="238" t="s">
        <v>49</v>
      </c>
      <c r="G18" s="238" t="s">
        <v>49</v>
      </c>
      <c r="H18" s="226" t="s">
        <v>50</v>
      </c>
      <c r="I18" s="227" t="s">
        <v>51</v>
      </c>
      <c r="J18" s="228" t="s">
        <v>66</v>
      </c>
      <c r="K18" s="228" t="s">
        <v>84</v>
      </c>
      <c r="L18" s="228" t="s">
        <v>59</v>
      </c>
      <c r="M18" s="239">
        <f>125*2</f>
        <v>250</v>
      </c>
      <c r="N18" s="244">
        <f>+M18*Q5</f>
        <v>80257.5</v>
      </c>
      <c r="O18" s="74">
        <f>M18*$Q$5</f>
        <v>80257.5</v>
      </c>
      <c r="P18" s="230">
        <f t="shared" si="0"/>
        <v>80257.5</v>
      </c>
      <c r="Q18" s="230">
        <f t="shared" si="4"/>
        <v>0</v>
      </c>
      <c r="R18" s="232"/>
      <c r="S18" s="233"/>
    </row>
    <row r="19" spans="1:19" s="231" customFormat="1" ht="12" customHeight="1" x14ac:dyDescent="0.2">
      <c r="A19" s="234">
        <f t="shared" si="1"/>
        <v>13</v>
      </c>
      <c r="B19" s="63" t="s">
        <v>85</v>
      </c>
      <c r="C19" s="45">
        <v>30240358</v>
      </c>
      <c r="D19" s="68">
        <v>45999</v>
      </c>
      <c r="E19" s="45" t="s">
        <v>86</v>
      </c>
      <c r="F19" s="238" t="s">
        <v>49</v>
      </c>
      <c r="G19" s="238" t="s">
        <v>49</v>
      </c>
      <c r="H19" s="226" t="s">
        <v>50</v>
      </c>
      <c r="I19" s="227" t="s">
        <v>51</v>
      </c>
      <c r="J19" s="228" t="s">
        <v>57</v>
      </c>
      <c r="K19" s="228" t="s">
        <v>87</v>
      </c>
      <c r="L19" s="228" t="s">
        <v>59</v>
      </c>
      <c r="M19" s="239">
        <f>40*2</f>
        <v>80</v>
      </c>
      <c r="N19" s="243">
        <f>1400*4</f>
        <v>5600</v>
      </c>
      <c r="O19" s="74">
        <f t="shared" ref="O19" si="6">1400*2</f>
        <v>2800</v>
      </c>
      <c r="P19" s="230">
        <f t="shared" si="0"/>
        <v>25682.399999999998</v>
      </c>
      <c r="Q19" s="230">
        <f>P19-O19</f>
        <v>22882.399999999998</v>
      </c>
      <c r="R19" s="232"/>
      <c r="S19" s="233"/>
    </row>
    <row r="20" spans="1:19" ht="12" customHeight="1" x14ac:dyDescent="0.25">
      <c r="I20" s="18"/>
      <c r="J20" s="18"/>
    </row>
    <row r="21" spans="1:19" ht="12" customHeight="1" x14ac:dyDescent="0.25">
      <c r="I21" s="18"/>
      <c r="J21" s="18"/>
      <c r="O21">
        <f>2500*2</f>
        <v>5000</v>
      </c>
    </row>
    <row r="22" spans="1:19" ht="12" customHeight="1" x14ac:dyDescent="0.25">
      <c r="I22" s="18"/>
      <c r="J22" s="18"/>
      <c r="O22" s="99">
        <f>+O21/15</f>
        <v>333.33333333333331</v>
      </c>
    </row>
    <row r="24" spans="1:19" ht="12" customHeight="1" x14ac:dyDescent="0.25">
      <c r="O24" s="240">
        <f>+O22*11</f>
        <v>3666.6666666666665</v>
      </c>
    </row>
    <row r="25" spans="1:19" ht="12" customHeight="1" x14ac:dyDescent="0.25">
      <c r="O25" s="240">
        <f>+O22*4</f>
        <v>1333.3333333333333</v>
      </c>
    </row>
    <row r="26" spans="1:19" ht="12" customHeight="1" x14ac:dyDescent="0.25">
      <c r="J26" s="99"/>
    </row>
  </sheetData>
  <autoFilter ref="A6:Q19" xr:uid="{00000000-0009-0000-0000-000001000000}"/>
  <mergeCells count="2">
    <mergeCell ref="A4:O4"/>
    <mergeCell ref="A5:O5"/>
  </mergeCells>
  <conditionalFormatting sqref="J6:L6">
    <cfRule type="colorScale" priority="2">
      <colorScale>
        <cfvo type="min"/>
        <cfvo type="max"/>
        <color rgb="FFF8696B"/>
        <color rgb="FFFCFCFF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BB1048462"/>
  <sheetViews>
    <sheetView showGridLines="0" tabSelected="1" zoomScale="98" zoomScaleNormal="98" workbookViewId="0">
      <pane xSplit="6" ySplit="6" topLeftCell="M7" activePane="bottomRight" state="frozen"/>
      <selection activeCell="F14" sqref="F14"/>
      <selection pane="topRight" activeCell="F14" sqref="F14"/>
      <selection pane="bottomLeft" activeCell="F14" sqref="F14"/>
      <selection pane="bottomRight" activeCell="M8" sqref="M8"/>
    </sheetView>
  </sheetViews>
  <sheetFormatPr baseColWidth="10" defaultColWidth="5.42578125" defaultRowHeight="15.75" customHeight="1" x14ac:dyDescent="0.25"/>
  <cols>
    <col min="1" max="1" width="3.28515625" customWidth="1"/>
    <col min="2" max="2" width="17.7109375" customWidth="1"/>
    <col min="3" max="3" width="11" customWidth="1"/>
    <col min="4" max="4" width="9.28515625" style="90" customWidth="1"/>
    <col min="5" max="5" width="18.85546875" style="18" customWidth="1"/>
    <col min="6" max="6" width="15.7109375" hidden="1" customWidth="1"/>
    <col min="7" max="7" width="14.42578125" hidden="1" customWidth="1"/>
    <col min="8" max="8" width="11.5703125" hidden="1" customWidth="1"/>
    <col min="9" max="9" width="24.5703125" hidden="1" customWidth="1"/>
    <col min="10" max="10" width="21.42578125" hidden="1" customWidth="1"/>
    <col min="11" max="11" width="10.28515625" style="18" hidden="1" customWidth="1"/>
    <col min="12" max="12" width="9.28515625" style="18" hidden="1" customWidth="1"/>
    <col min="13" max="13" width="11.85546875" customWidth="1"/>
    <col min="14" max="14" width="12.140625" customWidth="1"/>
    <col min="15" max="15" width="10.28515625" customWidth="1"/>
    <col min="16" max="16" width="10" customWidth="1"/>
    <col min="17" max="17" width="15" customWidth="1"/>
    <col min="18" max="18" width="12.85546875" customWidth="1"/>
    <col min="19" max="19" width="3.85546875" customWidth="1"/>
    <col min="20" max="20" width="12.7109375" customWidth="1"/>
    <col min="21" max="21" width="3.5703125" customWidth="1"/>
    <col min="22" max="22" width="11.28515625" customWidth="1"/>
    <col min="23" max="23" width="3.85546875" customWidth="1"/>
    <col min="24" max="24" width="11.42578125" customWidth="1"/>
    <col min="25" max="25" width="3.85546875" customWidth="1"/>
    <col min="26" max="26" width="9.85546875" customWidth="1"/>
    <col min="27" max="27" width="5.5703125" customWidth="1"/>
    <col min="28" max="28" width="3.85546875" customWidth="1"/>
    <col min="29" max="29" width="12" customWidth="1"/>
    <col min="30" max="30" width="4.28515625" customWidth="1"/>
    <col min="31" max="31" width="9.42578125" customWidth="1"/>
    <col min="32" max="32" width="9.85546875" customWidth="1"/>
    <col min="33" max="33" width="10.42578125" customWidth="1"/>
    <col min="34" max="34" width="13.140625" customWidth="1"/>
    <col min="35" max="35" width="5.7109375" style="18" customWidth="1"/>
    <col min="36" max="36" width="8.85546875" customWidth="1"/>
    <col min="37" max="37" width="7.7109375" customWidth="1"/>
    <col min="38" max="38" width="6.7109375" hidden="1" customWidth="1"/>
    <col min="39" max="39" width="9.7109375" customWidth="1"/>
    <col min="40" max="40" width="3.85546875" customWidth="1"/>
    <col min="41" max="41" width="9.7109375" customWidth="1"/>
    <col min="42" max="42" width="3.85546875" customWidth="1"/>
    <col min="43" max="43" width="11.140625" customWidth="1"/>
    <col min="44" max="44" width="7.7109375" hidden="1" customWidth="1"/>
    <col min="45" max="45" width="13.28515625" customWidth="1"/>
    <col min="46" max="46" width="13" style="105" customWidth="1"/>
    <col min="47" max="47" width="9" hidden="1" customWidth="1"/>
    <col min="48" max="48" width="17.85546875" customWidth="1"/>
    <col min="49" max="49" width="23.85546875" bestFit="1" customWidth="1"/>
    <col min="50" max="50" width="9.28515625" customWidth="1"/>
    <col min="51" max="51" width="9.85546875" customWidth="1"/>
    <col min="52" max="52" width="14.28515625" customWidth="1"/>
    <col min="53" max="53" width="12.28515625" customWidth="1"/>
    <col min="57" max="57" width="9.5703125" bestFit="1" customWidth="1"/>
  </cols>
  <sheetData>
    <row r="1" spans="1:54" ht="15.75" customHeight="1" x14ac:dyDescent="0.25">
      <c r="A1" s="1">
        <v>80</v>
      </c>
      <c r="B1" s="2"/>
      <c r="C1" s="2"/>
      <c r="D1" s="2"/>
      <c r="E1" s="3"/>
      <c r="F1" s="2"/>
      <c r="G1" s="2"/>
      <c r="H1" s="2"/>
      <c r="I1" s="2"/>
      <c r="J1" s="2"/>
      <c r="K1" s="3"/>
      <c r="L1" s="3"/>
      <c r="M1" s="4"/>
      <c r="N1" s="2"/>
      <c r="O1" s="5"/>
      <c r="P1" s="2"/>
      <c r="Q1" s="2"/>
      <c r="R1" s="2"/>
      <c r="S1" s="2"/>
      <c r="T1" s="2"/>
      <c r="U1" s="2"/>
      <c r="V1" s="6"/>
      <c r="W1" s="2"/>
      <c r="X1" s="7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  <c r="AJ1" s="2"/>
      <c r="AK1" s="8"/>
      <c r="AL1" s="2"/>
      <c r="AM1" s="9"/>
      <c r="AN1" s="2"/>
      <c r="AO1" s="10"/>
      <c r="AP1" s="2"/>
      <c r="AQ1" s="2"/>
      <c r="AR1" s="2"/>
      <c r="AS1" s="2"/>
      <c r="AT1" s="2"/>
      <c r="AU1" s="11"/>
      <c r="AV1" s="2"/>
    </row>
    <row r="2" spans="1:54" s="17" customFormat="1" ht="15.75" customHeight="1" x14ac:dyDescent="0.2">
      <c r="A2" s="12"/>
      <c r="B2" s="13"/>
      <c r="C2" s="13"/>
      <c r="D2" s="14"/>
      <c r="E2" s="15"/>
      <c r="F2" s="13"/>
      <c r="G2" s="13"/>
      <c r="H2" s="13"/>
      <c r="I2" s="13"/>
      <c r="J2" s="13"/>
      <c r="K2" s="15"/>
      <c r="L2" s="15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5"/>
      <c r="AJ2" s="13"/>
      <c r="AK2" s="13"/>
      <c r="AL2" s="13"/>
      <c r="AM2" s="13"/>
      <c r="AN2" s="13"/>
      <c r="AO2" s="16"/>
      <c r="AP2" s="13"/>
      <c r="AQ2" s="13"/>
      <c r="AR2" s="13"/>
      <c r="AS2" s="13"/>
      <c r="AT2" s="13"/>
      <c r="AU2" s="13"/>
      <c r="AV2" s="13"/>
    </row>
    <row r="4" spans="1:54" thickBot="1" x14ac:dyDescent="0.3">
      <c r="B4">
        <v>1</v>
      </c>
      <c r="C4">
        <v>1</v>
      </c>
      <c r="D4">
        <f>C4+1</f>
        <v>2</v>
      </c>
      <c r="E4">
        <f t="shared" ref="E4:BB4" si="0">D4+1</f>
        <v>3</v>
      </c>
      <c r="F4">
        <f t="shared" si="0"/>
        <v>4</v>
      </c>
      <c r="G4">
        <f t="shared" si="0"/>
        <v>5</v>
      </c>
      <c r="H4">
        <f t="shared" si="0"/>
        <v>6</v>
      </c>
      <c r="I4">
        <f t="shared" si="0"/>
        <v>7</v>
      </c>
      <c r="J4">
        <f t="shared" si="0"/>
        <v>8</v>
      </c>
      <c r="K4">
        <f t="shared" si="0"/>
        <v>9</v>
      </c>
      <c r="L4" s="18">
        <f t="shared" si="0"/>
        <v>10</v>
      </c>
      <c r="M4">
        <f t="shared" si="0"/>
        <v>11</v>
      </c>
      <c r="N4">
        <f t="shared" si="0"/>
        <v>12</v>
      </c>
      <c r="O4">
        <f t="shared" si="0"/>
        <v>13</v>
      </c>
      <c r="P4">
        <f t="shared" si="0"/>
        <v>14</v>
      </c>
      <c r="Q4">
        <f t="shared" si="0"/>
        <v>15</v>
      </c>
      <c r="R4">
        <f t="shared" si="0"/>
        <v>16</v>
      </c>
      <c r="S4">
        <f t="shared" si="0"/>
        <v>17</v>
      </c>
      <c r="T4">
        <f t="shared" si="0"/>
        <v>18</v>
      </c>
      <c r="U4">
        <f t="shared" si="0"/>
        <v>19</v>
      </c>
      <c r="V4">
        <f t="shared" si="0"/>
        <v>20</v>
      </c>
      <c r="W4">
        <f t="shared" si="0"/>
        <v>21</v>
      </c>
      <c r="X4">
        <f>W4+1</f>
        <v>22</v>
      </c>
      <c r="Y4">
        <f>X4+1</f>
        <v>23</v>
      </c>
      <c r="Z4">
        <f t="shared" si="0"/>
        <v>24</v>
      </c>
      <c r="AA4">
        <f t="shared" si="0"/>
        <v>25</v>
      </c>
      <c r="AB4">
        <f t="shared" si="0"/>
        <v>26</v>
      </c>
      <c r="AC4">
        <f t="shared" si="0"/>
        <v>27</v>
      </c>
      <c r="AD4">
        <f t="shared" si="0"/>
        <v>28</v>
      </c>
      <c r="AE4">
        <f t="shared" si="0"/>
        <v>29</v>
      </c>
      <c r="AF4">
        <f>AE4+1</f>
        <v>30</v>
      </c>
      <c r="AG4">
        <f t="shared" si="0"/>
        <v>31</v>
      </c>
      <c r="AH4">
        <f t="shared" si="0"/>
        <v>32</v>
      </c>
      <c r="AI4" s="18">
        <f t="shared" si="0"/>
        <v>33</v>
      </c>
      <c r="AJ4">
        <f t="shared" si="0"/>
        <v>34</v>
      </c>
      <c r="AK4">
        <f t="shared" si="0"/>
        <v>35</v>
      </c>
      <c r="AL4">
        <f t="shared" si="0"/>
        <v>36</v>
      </c>
      <c r="AM4">
        <f t="shared" si="0"/>
        <v>37</v>
      </c>
      <c r="AN4">
        <f t="shared" si="0"/>
        <v>38</v>
      </c>
      <c r="AO4">
        <f t="shared" si="0"/>
        <v>39</v>
      </c>
      <c r="AP4">
        <f t="shared" si="0"/>
        <v>40</v>
      </c>
      <c r="AQ4">
        <f t="shared" si="0"/>
        <v>41</v>
      </c>
      <c r="AR4">
        <f t="shared" si="0"/>
        <v>42</v>
      </c>
      <c r="AS4">
        <f t="shared" si="0"/>
        <v>43</v>
      </c>
      <c r="AT4">
        <f t="shared" si="0"/>
        <v>44</v>
      </c>
      <c r="AU4">
        <f t="shared" si="0"/>
        <v>45</v>
      </c>
      <c r="AV4">
        <f t="shared" si="0"/>
        <v>46</v>
      </c>
      <c r="AW4">
        <f t="shared" si="0"/>
        <v>47</v>
      </c>
      <c r="AX4">
        <f t="shared" si="0"/>
        <v>48</v>
      </c>
      <c r="AY4">
        <f t="shared" si="0"/>
        <v>49</v>
      </c>
      <c r="AZ4">
        <f t="shared" si="0"/>
        <v>50</v>
      </c>
      <c r="BA4">
        <f t="shared" si="0"/>
        <v>51</v>
      </c>
      <c r="BB4">
        <f t="shared" si="0"/>
        <v>52</v>
      </c>
    </row>
    <row r="5" spans="1:54" s="25" customFormat="1" ht="29.25" customHeight="1" thickBot="1" x14ac:dyDescent="0.3">
      <c r="A5" s="251" t="s">
        <v>0</v>
      </c>
      <c r="B5" s="252"/>
      <c r="C5" s="252"/>
      <c r="D5" s="252"/>
      <c r="E5" s="252"/>
      <c r="F5" s="252"/>
      <c r="G5" s="252"/>
      <c r="H5" s="252"/>
      <c r="I5" s="252"/>
      <c r="J5" s="252"/>
      <c r="K5" s="253"/>
      <c r="L5" s="251" t="s">
        <v>1</v>
      </c>
      <c r="M5" s="252"/>
      <c r="N5" s="252"/>
      <c r="O5" s="252"/>
      <c r="P5" s="253"/>
      <c r="Q5" s="19" t="s">
        <v>2</v>
      </c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1"/>
      <c r="AI5" s="251" t="s">
        <v>3</v>
      </c>
      <c r="AJ5" s="252"/>
      <c r="AK5" s="252"/>
      <c r="AL5" s="252"/>
      <c r="AM5" s="252"/>
      <c r="AN5" s="252"/>
      <c r="AO5" s="252"/>
      <c r="AP5" s="252"/>
      <c r="AQ5" s="252"/>
      <c r="AR5" s="252"/>
      <c r="AS5" s="253"/>
      <c r="AT5" s="19" t="s">
        <v>4</v>
      </c>
      <c r="AU5" s="20"/>
      <c r="AV5" s="22" t="s">
        <v>5</v>
      </c>
      <c r="AW5" s="23" t="s">
        <v>6</v>
      </c>
      <c r="AX5" s="24" t="s">
        <v>7</v>
      </c>
      <c r="AY5" s="24" t="s">
        <v>7</v>
      </c>
    </row>
    <row r="6" spans="1:54" s="42" customFormat="1" ht="32.25" customHeight="1" thickBot="1" x14ac:dyDescent="0.25">
      <c r="A6" s="26" t="s">
        <v>8</v>
      </c>
      <c r="B6" s="27" t="s">
        <v>9</v>
      </c>
      <c r="C6" s="27" t="s">
        <v>10</v>
      </c>
      <c r="D6" s="28" t="s">
        <v>11</v>
      </c>
      <c r="E6" s="27" t="s">
        <v>12</v>
      </c>
      <c r="F6" s="29" t="s">
        <v>13</v>
      </c>
      <c r="G6" s="29" t="s">
        <v>14</v>
      </c>
      <c r="H6" s="29" t="s">
        <v>15</v>
      </c>
      <c r="I6" s="30" t="s">
        <v>16</v>
      </c>
      <c r="J6" s="30" t="s">
        <v>17</v>
      </c>
      <c r="K6" s="30" t="s">
        <v>18</v>
      </c>
      <c r="L6" s="31" t="s">
        <v>19</v>
      </c>
      <c r="M6" s="32" t="s">
        <v>169</v>
      </c>
      <c r="N6" s="33" t="s">
        <v>20</v>
      </c>
      <c r="O6" s="33" t="s">
        <v>21</v>
      </c>
      <c r="P6" s="34" t="s">
        <v>22</v>
      </c>
      <c r="Q6" s="32" t="s">
        <v>23</v>
      </c>
      <c r="R6" s="32" t="s">
        <v>24</v>
      </c>
      <c r="S6" s="33" t="s">
        <v>8</v>
      </c>
      <c r="T6" s="33" t="s">
        <v>25</v>
      </c>
      <c r="U6" s="33" t="s">
        <v>8</v>
      </c>
      <c r="V6" s="33" t="s">
        <v>26</v>
      </c>
      <c r="W6" s="33" t="s">
        <v>8</v>
      </c>
      <c r="X6" s="33" t="s">
        <v>27</v>
      </c>
      <c r="Y6" s="33" t="s">
        <v>8</v>
      </c>
      <c r="Z6" s="33" t="s">
        <v>22</v>
      </c>
      <c r="AA6" s="33" t="s">
        <v>28</v>
      </c>
      <c r="AB6" s="29" t="s">
        <v>8</v>
      </c>
      <c r="AC6" s="29" t="s">
        <v>29</v>
      </c>
      <c r="AD6" s="29" t="s">
        <v>8</v>
      </c>
      <c r="AE6" s="29" t="s">
        <v>30</v>
      </c>
      <c r="AF6" s="35" t="s">
        <v>31</v>
      </c>
      <c r="AG6" s="33" t="s">
        <v>32</v>
      </c>
      <c r="AH6" s="36" t="s">
        <v>33</v>
      </c>
      <c r="AI6" s="32" t="s">
        <v>34</v>
      </c>
      <c r="AJ6" s="33" t="s">
        <v>35</v>
      </c>
      <c r="AK6" s="35" t="s">
        <v>36</v>
      </c>
      <c r="AL6" s="33" t="s">
        <v>37</v>
      </c>
      <c r="AM6" s="33" t="s">
        <v>38</v>
      </c>
      <c r="AN6" s="33" t="s">
        <v>23</v>
      </c>
      <c r="AO6" s="33" t="s">
        <v>39</v>
      </c>
      <c r="AP6" s="37" t="s">
        <v>8</v>
      </c>
      <c r="AQ6" s="37" t="s">
        <v>40</v>
      </c>
      <c r="AR6" s="35" t="s">
        <v>41</v>
      </c>
      <c r="AS6" s="36" t="s">
        <v>42</v>
      </c>
      <c r="AT6" s="38" t="s">
        <v>43</v>
      </c>
      <c r="AU6" s="38" t="s">
        <v>44</v>
      </c>
      <c r="AV6" s="39" t="s">
        <v>45</v>
      </c>
      <c r="AW6" s="40" t="s">
        <v>6</v>
      </c>
      <c r="AX6" s="41" t="s">
        <v>46</v>
      </c>
      <c r="AY6" s="41" t="s">
        <v>47</v>
      </c>
    </row>
    <row r="7" spans="1:54" s="61" customFormat="1" ht="17.25" customHeight="1" x14ac:dyDescent="0.2">
      <c r="A7" s="43">
        <v>1</v>
      </c>
      <c r="B7" s="44" t="s">
        <v>48</v>
      </c>
      <c r="C7" s="45">
        <v>15906403</v>
      </c>
      <c r="D7" s="46">
        <v>45362</v>
      </c>
      <c r="E7" s="47" t="str">
        <f>VLOOKUP(C7,[1]LISTADOS!$C$7:$E$210,3,0)</f>
        <v>COORD. ADMINISTRATIVO</v>
      </c>
      <c r="F7" s="48" t="s">
        <v>49</v>
      </c>
      <c r="G7" s="49" t="s">
        <v>50</v>
      </c>
      <c r="H7" s="50" t="s">
        <v>51</v>
      </c>
      <c r="I7" s="45" t="s">
        <v>52</v>
      </c>
      <c r="J7" s="51" t="s">
        <v>53</v>
      </c>
      <c r="K7" s="51" t="s">
        <v>54</v>
      </c>
      <c r="L7" s="52"/>
      <c r="M7" s="51">
        <f>VLOOKUP(C7,LISTADOS!$C$7:$O$111,12,0)</f>
        <v>10000</v>
      </c>
      <c r="N7" s="53">
        <f>+M7/30</f>
        <v>333.33333333333331</v>
      </c>
      <c r="O7" s="51">
        <f>+N7/7.5</f>
        <v>44.444444444444443</v>
      </c>
      <c r="P7" s="51">
        <f t="shared" ref="P7:P14" si="1">+N7*0.3333</f>
        <v>111.1</v>
      </c>
      <c r="Q7" s="54">
        <v>11</v>
      </c>
      <c r="R7" s="51">
        <f>+N7*Q7</f>
        <v>3666.6666666666665</v>
      </c>
      <c r="S7" s="54">
        <v>4</v>
      </c>
      <c r="T7" s="51">
        <f>(R7+V7+X7+Z7+AC7+AE7+AF7)/11*S7</f>
        <v>1333.3333333333333</v>
      </c>
      <c r="U7" s="54">
        <v>0</v>
      </c>
      <c r="V7" s="51">
        <f t="shared" ref="V7:V14" si="2">+U7*N7*1.5</f>
        <v>0</v>
      </c>
      <c r="W7" s="54">
        <v>0</v>
      </c>
      <c r="X7" s="51">
        <f>+W7*N7</f>
        <v>0</v>
      </c>
      <c r="Y7" s="54">
        <v>0</v>
      </c>
      <c r="Z7" s="51">
        <f>Y7*P7</f>
        <v>0</v>
      </c>
      <c r="AA7" s="55"/>
      <c r="AB7" s="54">
        <v>0</v>
      </c>
      <c r="AC7" s="51">
        <f>+O7*AB7*1.5</f>
        <v>0</v>
      </c>
      <c r="AD7" s="54">
        <v>0</v>
      </c>
      <c r="AE7" s="51">
        <f>(O7*AD7)*30%</f>
        <v>0</v>
      </c>
      <c r="AF7" s="51">
        <v>0</v>
      </c>
      <c r="AG7" s="55">
        <v>0</v>
      </c>
      <c r="AH7" s="56">
        <f>+R7+T7+Z7+AA7+AC7+AG7+AF7+V7+AE7+X7</f>
        <v>5000</v>
      </c>
      <c r="AI7" s="57">
        <v>1</v>
      </c>
      <c r="AJ7" s="51">
        <f>(((650*12/52)*4%)*AI7)</f>
        <v>6</v>
      </c>
      <c r="AK7" s="51">
        <f>(((650*12/52)*0.5%)*AI7)</f>
        <v>0.75</v>
      </c>
      <c r="AL7" s="51"/>
      <c r="AM7" s="51">
        <f>AH7*1%</f>
        <v>50</v>
      </c>
      <c r="AN7" s="54">
        <v>1</v>
      </c>
      <c r="AO7" s="51">
        <f t="shared" ref="AO7:AO14" si="3">AN7*N7</f>
        <v>333.33333333333331</v>
      </c>
      <c r="AP7" s="54">
        <v>0</v>
      </c>
      <c r="AQ7" s="51">
        <f>+AP7*$N7</f>
        <v>0</v>
      </c>
      <c r="AR7" s="54"/>
      <c r="AS7" s="58">
        <f>+AJ7+AM7+AK7+AO7+AQ7+AR7</f>
        <v>390.08333333333331</v>
      </c>
      <c r="AT7" s="59">
        <f>+AH7-AS7</f>
        <v>4609.916666666667</v>
      </c>
      <c r="AU7" s="60"/>
      <c r="AV7" s="60" t="s">
        <v>55</v>
      </c>
      <c r="AW7" s="45" t="s">
        <v>49</v>
      </c>
      <c r="AZ7" s="61" t="str">
        <f>VLOOKUP(C7,[2]ACTIVOS!$C$7:$H$140,3,0)</f>
        <v>COORD. ADMINISTRATIVO</v>
      </c>
    </row>
    <row r="8" spans="1:54" s="61" customFormat="1" ht="17.25" customHeight="1" x14ac:dyDescent="0.2">
      <c r="A8" s="43">
        <f>+A7+1</f>
        <v>2</v>
      </c>
      <c r="B8" s="44" t="s">
        <v>56</v>
      </c>
      <c r="C8" s="45">
        <v>30329814</v>
      </c>
      <c r="D8" s="46">
        <v>45136</v>
      </c>
      <c r="E8" s="62" t="str">
        <f>VLOOKUP(C8,[1]LISTADOS!$C$7:$E$210,3,0)</f>
        <v>CAJERO (A)</v>
      </c>
      <c r="F8" s="48" t="s">
        <v>49</v>
      </c>
      <c r="G8" s="49" t="s">
        <v>50</v>
      </c>
      <c r="H8" s="50" t="s">
        <v>51</v>
      </c>
      <c r="I8" s="45" t="s">
        <v>57</v>
      </c>
      <c r="J8" s="51" t="s">
        <v>58</v>
      </c>
      <c r="K8" s="51" t="s">
        <v>59</v>
      </c>
      <c r="L8" s="52"/>
      <c r="M8" s="51">
        <f>VLOOKUP(C8,LISTADOS!$C$7:$O$111,12,0)</f>
        <v>5600</v>
      </c>
      <c r="N8" s="53">
        <f t="shared" ref="N8:N14" si="4">+M8/30</f>
        <v>186.66666666666666</v>
      </c>
      <c r="O8" s="51">
        <f>+N8/7.5</f>
        <v>24.888888888888889</v>
      </c>
      <c r="P8" s="51">
        <f t="shared" si="1"/>
        <v>62.215999999999994</v>
      </c>
      <c r="Q8" s="54">
        <v>10</v>
      </c>
      <c r="R8" s="51">
        <f t="shared" ref="R8:R14" si="5">+N8*Q8</f>
        <v>1866.6666666666665</v>
      </c>
      <c r="S8" s="54">
        <v>4</v>
      </c>
      <c r="T8" s="51">
        <f t="shared" ref="T8:T14" si="6">(R8+V8+X8+Z8+AC8+AE8+AF8)/11*S8</f>
        <v>872.92121212121197</v>
      </c>
      <c r="U8" s="54">
        <v>1</v>
      </c>
      <c r="V8" s="51">
        <f t="shared" si="2"/>
        <v>280</v>
      </c>
      <c r="W8" s="54">
        <v>1</v>
      </c>
      <c r="X8" s="51">
        <f t="shared" ref="X8:X14" si="7">+W8*N8</f>
        <v>186.66666666666666</v>
      </c>
      <c r="Y8" s="54">
        <v>0</v>
      </c>
      <c r="Z8" s="51">
        <f t="shared" ref="Z8:Z14" si="8">Y8*P8</f>
        <v>0</v>
      </c>
      <c r="AA8" s="55"/>
      <c r="AB8" s="54">
        <v>0</v>
      </c>
      <c r="AC8" s="51">
        <f t="shared" ref="AC8:AC14" si="9">+O8*AB8*1.5</f>
        <v>0</v>
      </c>
      <c r="AD8" s="54">
        <v>9</v>
      </c>
      <c r="AE8" s="51">
        <f t="shared" ref="AE8:AE14" si="10">(O8*AD8)*30%</f>
        <v>67.2</v>
      </c>
      <c r="AF8" s="51">
        <v>0</v>
      </c>
      <c r="AG8" s="55">
        <v>0</v>
      </c>
      <c r="AH8" s="56">
        <f t="shared" ref="AH8:AH14" si="11">+R8+T8+Z8+AA8+AC8+AG8+AF8+V8+AE8+X8</f>
        <v>3273.4545454545446</v>
      </c>
      <c r="AI8" s="57">
        <v>1</v>
      </c>
      <c r="AJ8" s="51">
        <f>(((650*12/52)*4%)*AI8)</f>
        <v>6</v>
      </c>
      <c r="AK8" s="51">
        <f t="shared" ref="AK8:AK14" si="12">(((650*12/52)*0.5%)*AI8)</f>
        <v>0.75</v>
      </c>
      <c r="AL8" s="51"/>
      <c r="AM8" s="51">
        <f t="shared" ref="AM8:AM14" si="13">AH8*1%</f>
        <v>32.734545454545447</v>
      </c>
      <c r="AN8" s="54">
        <v>0</v>
      </c>
      <c r="AO8" s="51">
        <f t="shared" si="3"/>
        <v>0</v>
      </c>
      <c r="AP8" s="54">
        <v>1</v>
      </c>
      <c r="AQ8" s="51">
        <f t="shared" ref="AQ8:AQ14" si="14">+AP8*$N8</f>
        <v>186.66666666666666</v>
      </c>
      <c r="AR8" s="54"/>
      <c r="AS8" s="58">
        <f t="shared" ref="AS8:AS14" si="15">+AJ8+AM8+AK8+AO8+AQ8+AR8</f>
        <v>226.1512121212121</v>
      </c>
      <c r="AT8" s="59">
        <f t="shared" ref="AT8:AT14" si="16">+AH8-AS8</f>
        <v>3047.3033333333324</v>
      </c>
      <c r="AU8" s="60"/>
      <c r="AV8" s="60" t="s">
        <v>60</v>
      </c>
      <c r="AW8" s="45" t="s">
        <v>49</v>
      </c>
      <c r="AZ8" s="61" t="str">
        <f>VLOOKUP(C8,[2]ACTIVOS!$C$7:$H$140,3,0)</f>
        <v>AUX. DE ALMACEN</v>
      </c>
    </row>
    <row r="9" spans="1:54" s="61" customFormat="1" ht="17.25" customHeight="1" x14ac:dyDescent="0.2">
      <c r="A9" s="43">
        <f t="shared" ref="A9:A14" si="17">+A8+1</f>
        <v>3</v>
      </c>
      <c r="B9" s="44" t="s">
        <v>61</v>
      </c>
      <c r="C9" s="45">
        <v>31272373</v>
      </c>
      <c r="D9" s="46">
        <v>44998</v>
      </c>
      <c r="E9" s="47" t="str">
        <f>VLOOKUP(C9,[1]LISTADOS!$C$7:$E$210,3,0)</f>
        <v>AUX. DE ALMACEN</v>
      </c>
      <c r="F9" s="48" t="s">
        <v>49</v>
      </c>
      <c r="G9" s="49" t="s">
        <v>50</v>
      </c>
      <c r="H9" s="50" t="s">
        <v>51</v>
      </c>
      <c r="I9" s="45" t="s">
        <v>57</v>
      </c>
      <c r="J9" s="51" t="s">
        <v>62</v>
      </c>
      <c r="K9" s="51" t="s">
        <v>59</v>
      </c>
      <c r="L9" s="52"/>
      <c r="M9" s="51">
        <f>VLOOKUP(C9,LISTADOS!$C$7:$O$111,12,0)</f>
        <v>5600</v>
      </c>
      <c r="N9" s="53">
        <f t="shared" si="4"/>
        <v>186.66666666666666</v>
      </c>
      <c r="O9" s="51">
        <f t="shared" ref="O9:O14" si="18">+N9/8</f>
        <v>23.333333333333332</v>
      </c>
      <c r="P9" s="51">
        <f t="shared" si="1"/>
        <v>62.215999999999994</v>
      </c>
      <c r="Q9" s="54">
        <v>11</v>
      </c>
      <c r="R9" s="51">
        <f t="shared" si="5"/>
        <v>2053.333333333333</v>
      </c>
      <c r="S9" s="54">
        <v>4</v>
      </c>
      <c r="T9" s="51">
        <f t="shared" si="6"/>
        <v>856.12121212121201</v>
      </c>
      <c r="U9" s="54">
        <v>1</v>
      </c>
      <c r="V9" s="51">
        <f t="shared" si="2"/>
        <v>280</v>
      </c>
      <c r="W9" s="54">
        <v>0</v>
      </c>
      <c r="X9" s="51">
        <f t="shared" si="7"/>
        <v>0</v>
      </c>
      <c r="Y9" s="54">
        <v>0</v>
      </c>
      <c r="Z9" s="51">
        <f t="shared" si="8"/>
        <v>0</v>
      </c>
      <c r="AA9" s="55"/>
      <c r="AB9" s="54">
        <v>0</v>
      </c>
      <c r="AC9" s="51">
        <f t="shared" si="9"/>
        <v>0</v>
      </c>
      <c r="AD9" s="54">
        <v>3</v>
      </c>
      <c r="AE9" s="51">
        <f t="shared" si="10"/>
        <v>21</v>
      </c>
      <c r="AF9" s="51">
        <v>0</v>
      </c>
      <c r="AG9" s="55">
        <v>0</v>
      </c>
      <c r="AH9" s="56">
        <f t="shared" si="11"/>
        <v>3210.454545454545</v>
      </c>
      <c r="AI9" s="57">
        <v>1</v>
      </c>
      <c r="AJ9" s="51">
        <f t="shared" ref="AJ9:AJ14" si="19">(((650*12/52)*4%)*AI9)</f>
        <v>6</v>
      </c>
      <c r="AK9" s="51">
        <f t="shared" si="12"/>
        <v>0.75</v>
      </c>
      <c r="AL9" s="51"/>
      <c r="AM9" s="51">
        <f t="shared" si="13"/>
        <v>32.104545454545452</v>
      </c>
      <c r="AN9" s="54">
        <v>0</v>
      </c>
      <c r="AO9" s="51">
        <f t="shared" si="3"/>
        <v>0</v>
      </c>
      <c r="AP9" s="54">
        <v>0</v>
      </c>
      <c r="AQ9" s="51">
        <f t="shared" si="14"/>
        <v>0</v>
      </c>
      <c r="AR9" s="54"/>
      <c r="AS9" s="58">
        <f t="shared" si="15"/>
        <v>38.854545454545452</v>
      </c>
      <c r="AT9" s="59">
        <f t="shared" si="16"/>
        <v>3171.5999999999995</v>
      </c>
      <c r="AU9" s="60"/>
      <c r="AV9" s="60"/>
      <c r="AW9" s="45" t="s">
        <v>49</v>
      </c>
      <c r="AZ9" s="61" t="str">
        <f>VLOOKUP(C9,[2]ACTIVOS!$C$7:$H$140,3,0)</f>
        <v>AUX. DE ALMACEN</v>
      </c>
    </row>
    <row r="10" spans="1:54" s="61" customFormat="1" ht="17.25" customHeight="1" x14ac:dyDescent="0.2">
      <c r="A10" s="43">
        <f t="shared" si="17"/>
        <v>4</v>
      </c>
      <c r="B10" s="44" t="s">
        <v>65</v>
      </c>
      <c r="C10" s="45">
        <v>12647713</v>
      </c>
      <c r="D10" s="46">
        <v>45079</v>
      </c>
      <c r="E10" s="47" t="str">
        <f>VLOOKUP(C10,[1]LISTADOS!$C$7:$E$210,3,0)</f>
        <v>SUPERVISOR DE VENTAS</v>
      </c>
      <c r="F10" s="48" t="s">
        <v>49</v>
      </c>
      <c r="G10" s="49" t="s">
        <v>50</v>
      </c>
      <c r="H10" s="50" t="s">
        <v>51</v>
      </c>
      <c r="I10" s="45" t="s">
        <v>66</v>
      </c>
      <c r="J10" s="51" t="s">
        <v>67</v>
      </c>
      <c r="K10" s="51" t="s">
        <v>59</v>
      </c>
      <c r="L10" s="52"/>
      <c r="M10" s="51">
        <f>VLOOKUP(C10,LISTADOS!$C$7:$O$111,12,0)</f>
        <v>8000</v>
      </c>
      <c r="N10" s="53">
        <f t="shared" si="4"/>
        <v>266.66666666666669</v>
      </c>
      <c r="O10" s="51">
        <f t="shared" si="18"/>
        <v>33.333333333333336</v>
      </c>
      <c r="P10" s="51">
        <f t="shared" si="1"/>
        <v>88.88</v>
      </c>
      <c r="Q10" s="54">
        <v>11</v>
      </c>
      <c r="R10" s="51">
        <f t="shared" si="5"/>
        <v>2933.3333333333335</v>
      </c>
      <c r="S10" s="54">
        <v>4</v>
      </c>
      <c r="T10" s="51">
        <f t="shared" si="6"/>
        <v>1066.6666666666667</v>
      </c>
      <c r="U10" s="54">
        <v>0</v>
      </c>
      <c r="V10" s="51">
        <f t="shared" si="2"/>
        <v>0</v>
      </c>
      <c r="W10" s="54">
        <v>0</v>
      </c>
      <c r="X10" s="51">
        <f t="shared" si="7"/>
        <v>0</v>
      </c>
      <c r="Y10" s="54">
        <v>0</v>
      </c>
      <c r="Z10" s="51">
        <f t="shared" si="8"/>
        <v>0</v>
      </c>
      <c r="AA10" s="55"/>
      <c r="AB10" s="54">
        <v>0</v>
      </c>
      <c r="AC10" s="51">
        <f t="shared" si="9"/>
        <v>0</v>
      </c>
      <c r="AD10" s="54">
        <v>0</v>
      </c>
      <c r="AE10" s="51">
        <f t="shared" si="10"/>
        <v>0</v>
      </c>
      <c r="AF10" s="51">
        <v>0</v>
      </c>
      <c r="AG10" s="55">
        <v>0</v>
      </c>
      <c r="AH10" s="56">
        <f t="shared" si="11"/>
        <v>4000</v>
      </c>
      <c r="AI10" s="57">
        <v>1</v>
      </c>
      <c r="AJ10" s="51">
        <f t="shared" si="19"/>
        <v>6</v>
      </c>
      <c r="AK10" s="51">
        <f t="shared" si="12"/>
        <v>0.75</v>
      </c>
      <c r="AL10" s="51"/>
      <c r="AM10" s="51">
        <f t="shared" si="13"/>
        <v>40</v>
      </c>
      <c r="AN10" s="54">
        <v>0</v>
      </c>
      <c r="AO10" s="51">
        <f t="shared" si="3"/>
        <v>0</v>
      </c>
      <c r="AP10" s="54">
        <v>0</v>
      </c>
      <c r="AQ10" s="51">
        <f t="shared" si="14"/>
        <v>0</v>
      </c>
      <c r="AR10" s="54"/>
      <c r="AS10" s="58">
        <f t="shared" si="15"/>
        <v>46.75</v>
      </c>
      <c r="AT10" s="59">
        <f t="shared" si="16"/>
        <v>3953.25</v>
      </c>
      <c r="AU10" s="60"/>
      <c r="AV10" s="60"/>
      <c r="AW10" s="45" t="s">
        <v>49</v>
      </c>
      <c r="AZ10" s="61" t="str">
        <f>VLOOKUP(C10,[2]ACTIVOS!$C$7:$H$140,3,0)</f>
        <v>SUPERVISOR DE VENTAS</v>
      </c>
    </row>
    <row r="11" spans="1:54" s="61" customFormat="1" ht="17.25" customHeight="1" x14ac:dyDescent="0.2">
      <c r="A11" s="43">
        <f t="shared" si="17"/>
        <v>5</v>
      </c>
      <c r="B11" s="63" t="s">
        <v>76</v>
      </c>
      <c r="C11" s="45">
        <v>28427378</v>
      </c>
      <c r="D11" s="46">
        <v>45708</v>
      </c>
      <c r="E11" s="47" t="str">
        <f>VLOOKUP(C11,[1]LISTADOS!$C$7:$E$210,3,0)</f>
        <v xml:space="preserve">SUPERVISOR DE ALMACEN </v>
      </c>
      <c r="F11" s="48" t="s">
        <v>49</v>
      </c>
      <c r="G11" s="64" t="s">
        <v>50</v>
      </c>
      <c r="H11" s="65" t="s">
        <v>51</v>
      </c>
      <c r="I11" s="45" t="s">
        <v>57</v>
      </c>
      <c r="J11" s="66" t="s">
        <v>77</v>
      </c>
      <c r="K11" s="66" t="s">
        <v>59</v>
      </c>
      <c r="L11" s="52"/>
      <c r="M11" s="51">
        <f>VLOOKUP(C11,LISTADOS!$C$7:$O$111,12,0)</f>
        <v>8000</v>
      </c>
      <c r="N11" s="53">
        <f t="shared" si="4"/>
        <v>266.66666666666669</v>
      </c>
      <c r="O11" s="51">
        <f t="shared" si="18"/>
        <v>33.333333333333336</v>
      </c>
      <c r="P11" s="51">
        <f t="shared" si="1"/>
        <v>88.88</v>
      </c>
      <c r="Q11" s="54">
        <v>9</v>
      </c>
      <c r="R11" s="51">
        <f t="shared" si="5"/>
        <v>2400</v>
      </c>
      <c r="S11" s="54">
        <v>4</v>
      </c>
      <c r="T11" s="51">
        <f t="shared" si="6"/>
        <v>973.73090909090922</v>
      </c>
      <c r="U11" s="54">
        <v>0</v>
      </c>
      <c r="V11" s="51">
        <f t="shared" si="2"/>
        <v>0</v>
      </c>
      <c r="W11" s="54">
        <v>0</v>
      </c>
      <c r="X11" s="51">
        <f t="shared" si="7"/>
        <v>0</v>
      </c>
      <c r="Y11" s="54">
        <v>2</v>
      </c>
      <c r="Z11" s="51">
        <f t="shared" si="8"/>
        <v>177.76</v>
      </c>
      <c r="AA11" s="55"/>
      <c r="AB11" s="54">
        <v>2</v>
      </c>
      <c r="AC11" s="51">
        <f t="shared" si="9"/>
        <v>100</v>
      </c>
      <c r="AD11" s="54">
        <v>0</v>
      </c>
      <c r="AE11" s="51">
        <f t="shared" si="10"/>
        <v>0</v>
      </c>
      <c r="AF11" s="51">
        <v>0</v>
      </c>
      <c r="AG11" s="55">
        <v>0</v>
      </c>
      <c r="AH11" s="56">
        <f t="shared" si="11"/>
        <v>3651.4909090909096</v>
      </c>
      <c r="AI11" s="57">
        <v>1</v>
      </c>
      <c r="AJ11" s="51">
        <f t="shared" si="19"/>
        <v>6</v>
      </c>
      <c r="AK11" s="51">
        <f t="shared" si="12"/>
        <v>0.75</v>
      </c>
      <c r="AL11" s="51"/>
      <c r="AM11" s="51">
        <f t="shared" si="13"/>
        <v>36.514909090909093</v>
      </c>
      <c r="AN11" s="54">
        <v>0</v>
      </c>
      <c r="AO11" s="51">
        <f t="shared" si="3"/>
        <v>0</v>
      </c>
      <c r="AP11" s="54">
        <v>0</v>
      </c>
      <c r="AQ11" s="51">
        <f t="shared" si="14"/>
        <v>0</v>
      </c>
      <c r="AR11" s="54"/>
      <c r="AS11" s="58">
        <f t="shared" si="15"/>
        <v>43.264909090909093</v>
      </c>
      <c r="AT11" s="59">
        <f t="shared" si="16"/>
        <v>3608.2260000000006</v>
      </c>
      <c r="AU11" s="43"/>
      <c r="AV11" s="67"/>
      <c r="AW11" s="45" t="s">
        <v>49</v>
      </c>
      <c r="AZ11" s="61" t="str">
        <f>VLOOKUP(C11,[2]ACTIVOS!$C$7:$H$140,3,0)</f>
        <v xml:space="preserve">SUPERVISOR DE ALMACEN </v>
      </c>
    </row>
    <row r="12" spans="1:54" s="61" customFormat="1" ht="17.25" customHeight="1" x14ac:dyDescent="0.2">
      <c r="A12" s="43">
        <f t="shared" si="17"/>
        <v>6</v>
      </c>
      <c r="B12" s="44" t="s">
        <v>80</v>
      </c>
      <c r="C12" s="45">
        <v>26940897</v>
      </c>
      <c r="D12" s="46">
        <v>45712</v>
      </c>
      <c r="E12" s="47" t="str">
        <f>VLOOKUP(C12,[1]LISTADOS!$C$7:$E$210,3,0)</f>
        <v>GERENTE</v>
      </c>
      <c r="F12" s="48" t="s">
        <v>49</v>
      </c>
      <c r="G12" s="64" t="s">
        <v>50</v>
      </c>
      <c r="H12" s="65" t="s">
        <v>51</v>
      </c>
      <c r="I12" s="45" t="s">
        <v>66</v>
      </c>
      <c r="J12" s="66" t="s">
        <v>81</v>
      </c>
      <c r="K12" s="66" t="s">
        <v>59</v>
      </c>
      <c r="L12" s="52"/>
      <c r="M12" s="51">
        <f>VLOOKUP(C12,LISTADOS!$C$7:$O$111,12,0)</f>
        <v>10000</v>
      </c>
      <c r="N12" s="53">
        <f t="shared" si="4"/>
        <v>333.33333333333331</v>
      </c>
      <c r="O12" s="51">
        <f>+N12/7.5</f>
        <v>44.444444444444443</v>
      </c>
      <c r="P12" s="51">
        <f t="shared" si="1"/>
        <v>111.1</v>
      </c>
      <c r="Q12" s="54">
        <v>11</v>
      </c>
      <c r="R12" s="51">
        <f t="shared" si="5"/>
        <v>3666.6666666666665</v>
      </c>
      <c r="S12" s="54">
        <v>4</v>
      </c>
      <c r="T12" s="51">
        <f t="shared" si="6"/>
        <v>1515.151515151515</v>
      </c>
      <c r="U12" s="54">
        <v>1</v>
      </c>
      <c r="V12" s="51">
        <f t="shared" si="2"/>
        <v>500</v>
      </c>
      <c r="W12" s="54">
        <v>0</v>
      </c>
      <c r="X12" s="51">
        <f t="shared" si="7"/>
        <v>0</v>
      </c>
      <c r="Y12" s="54">
        <v>0</v>
      </c>
      <c r="Z12" s="51">
        <f t="shared" si="8"/>
        <v>0</v>
      </c>
      <c r="AA12" s="55"/>
      <c r="AB12" s="54">
        <v>0</v>
      </c>
      <c r="AC12" s="51">
        <f t="shared" si="9"/>
        <v>0</v>
      </c>
      <c r="AD12" s="54">
        <v>0</v>
      </c>
      <c r="AE12" s="51">
        <f t="shared" si="10"/>
        <v>0</v>
      </c>
      <c r="AF12" s="51">
        <v>0</v>
      </c>
      <c r="AG12" s="55">
        <v>0</v>
      </c>
      <c r="AH12" s="56">
        <f t="shared" si="11"/>
        <v>5681.818181818182</v>
      </c>
      <c r="AI12" s="57">
        <v>1</v>
      </c>
      <c r="AJ12" s="51">
        <f t="shared" si="19"/>
        <v>6</v>
      </c>
      <c r="AK12" s="51">
        <f t="shared" si="12"/>
        <v>0.75</v>
      </c>
      <c r="AL12" s="51"/>
      <c r="AM12" s="51">
        <f t="shared" si="13"/>
        <v>56.81818181818182</v>
      </c>
      <c r="AN12" s="54">
        <v>0</v>
      </c>
      <c r="AO12" s="51">
        <f t="shared" si="3"/>
        <v>0</v>
      </c>
      <c r="AP12" s="54">
        <v>0</v>
      </c>
      <c r="AQ12" s="51">
        <f t="shared" si="14"/>
        <v>0</v>
      </c>
      <c r="AR12" s="54"/>
      <c r="AS12" s="58">
        <f t="shared" si="15"/>
        <v>63.56818181818182</v>
      </c>
      <c r="AT12" s="59">
        <f t="shared" si="16"/>
        <v>5618.25</v>
      </c>
      <c r="AU12" s="43"/>
      <c r="AV12" s="67"/>
      <c r="AW12" s="45" t="s">
        <v>49</v>
      </c>
      <c r="AZ12" s="61" t="str">
        <f>VLOOKUP(C12,[2]ACTIVOS!$C$7:$H$140,3,0)</f>
        <v>GERENTE</v>
      </c>
    </row>
    <row r="13" spans="1:54" s="61" customFormat="1" ht="17.25" customHeight="1" x14ac:dyDescent="0.2">
      <c r="A13" s="43">
        <f t="shared" si="17"/>
        <v>7</v>
      </c>
      <c r="B13" s="63" t="s">
        <v>82</v>
      </c>
      <c r="C13" s="45">
        <v>18251792</v>
      </c>
      <c r="D13" s="46">
        <v>45323</v>
      </c>
      <c r="E13" s="47" t="s">
        <v>83</v>
      </c>
      <c r="F13" s="48" t="s">
        <v>49</v>
      </c>
      <c r="G13" s="64" t="s">
        <v>50</v>
      </c>
      <c r="H13" s="65" t="s">
        <v>51</v>
      </c>
      <c r="I13" s="45" t="s">
        <v>66</v>
      </c>
      <c r="J13" s="66" t="s">
        <v>84</v>
      </c>
      <c r="K13" s="66" t="s">
        <v>59</v>
      </c>
      <c r="L13" s="52"/>
      <c r="M13" s="51">
        <f>VLOOKUP(C13,LISTADOS!$C$7:$O$111,12,0)</f>
        <v>80257.5</v>
      </c>
      <c r="N13" s="53">
        <f t="shared" si="4"/>
        <v>2675.25</v>
      </c>
      <c r="O13" s="51">
        <f t="shared" si="18"/>
        <v>334.40625</v>
      </c>
      <c r="P13" s="51">
        <f t="shared" si="1"/>
        <v>891.66082499999993</v>
      </c>
      <c r="Q13" s="54">
        <v>11</v>
      </c>
      <c r="R13" s="51">
        <f t="shared" si="5"/>
        <v>29427.75</v>
      </c>
      <c r="S13" s="54">
        <v>4</v>
      </c>
      <c r="T13" s="51">
        <f t="shared" si="6"/>
        <v>10701</v>
      </c>
      <c r="U13" s="54">
        <v>0</v>
      </c>
      <c r="V13" s="51">
        <f t="shared" si="2"/>
        <v>0</v>
      </c>
      <c r="W13" s="54">
        <v>0</v>
      </c>
      <c r="X13" s="51">
        <f t="shared" si="7"/>
        <v>0</v>
      </c>
      <c r="Y13" s="54">
        <v>0</v>
      </c>
      <c r="Z13" s="51">
        <f t="shared" si="8"/>
        <v>0</v>
      </c>
      <c r="AA13" s="55"/>
      <c r="AB13" s="54">
        <v>0</v>
      </c>
      <c r="AC13" s="51">
        <f t="shared" si="9"/>
        <v>0</v>
      </c>
      <c r="AD13" s="54">
        <v>0</v>
      </c>
      <c r="AE13" s="51">
        <f t="shared" si="10"/>
        <v>0</v>
      </c>
      <c r="AF13" s="51">
        <v>0</v>
      </c>
      <c r="AG13" s="55">
        <v>0</v>
      </c>
      <c r="AH13" s="56">
        <f t="shared" si="11"/>
        <v>40128.75</v>
      </c>
      <c r="AI13" s="57">
        <v>1</v>
      </c>
      <c r="AJ13" s="51">
        <f t="shared" si="19"/>
        <v>6</v>
      </c>
      <c r="AK13" s="51">
        <f t="shared" si="12"/>
        <v>0.75</v>
      </c>
      <c r="AL13" s="51"/>
      <c r="AM13" s="51">
        <f t="shared" si="13"/>
        <v>401.28750000000002</v>
      </c>
      <c r="AN13" s="54">
        <v>0</v>
      </c>
      <c r="AO13" s="51">
        <f t="shared" si="3"/>
        <v>0</v>
      </c>
      <c r="AP13" s="54">
        <v>0</v>
      </c>
      <c r="AQ13" s="51">
        <f t="shared" si="14"/>
        <v>0</v>
      </c>
      <c r="AR13" s="54"/>
      <c r="AS13" s="58">
        <f t="shared" si="15"/>
        <v>408.03750000000002</v>
      </c>
      <c r="AT13" s="59">
        <f t="shared" si="16"/>
        <v>39720.712500000001</v>
      </c>
      <c r="AU13" s="43"/>
      <c r="AV13" s="67"/>
      <c r="AW13" s="45" t="s">
        <v>49</v>
      </c>
      <c r="AZ13" s="61" t="str">
        <f>VLOOKUP(C13,[2]ACTIVOS!$C$7:$H$140,3,0)</f>
        <v>FARMACEUTICO</v>
      </c>
    </row>
    <row r="14" spans="1:54" s="61" customFormat="1" ht="17.25" customHeight="1" x14ac:dyDescent="0.2">
      <c r="A14" s="43">
        <f t="shared" si="17"/>
        <v>8</v>
      </c>
      <c r="B14" s="63" t="s">
        <v>85</v>
      </c>
      <c r="C14" s="45">
        <v>30240358</v>
      </c>
      <c r="D14" s="46">
        <v>45999</v>
      </c>
      <c r="E14" s="47" t="s">
        <v>86</v>
      </c>
      <c r="F14" s="48" t="s">
        <v>49</v>
      </c>
      <c r="G14" s="64" t="s">
        <v>50</v>
      </c>
      <c r="H14" s="65" t="s">
        <v>51</v>
      </c>
      <c r="I14" s="45" t="s">
        <v>57</v>
      </c>
      <c r="J14" s="66" t="s">
        <v>87</v>
      </c>
      <c r="K14" s="66" t="s">
        <v>59</v>
      </c>
      <c r="L14" s="52"/>
      <c r="M14" s="51">
        <f>VLOOKUP(C14,LISTADOS!$C$7:$O$111,12,0)</f>
        <v>5600</v>
      </c>
      <c r="N14" s="53">
        <f t="shared" si="4"/>
        <v>186.66666666666666</v>
      </c>
      <c r="O14" s="51">
        <f t="shared" si="18"/>
        <v>23.333333333333332</v>
      </c>
      <c r="P14" s="51">
        <f t="shared" si="1"/>
        <v>62.215999999999994</v>
      </c>
      <c r="Q14" s="54">
        <v>11</v>
      </c>
      <c r="R14" s="51">
        <f t="shared" si="5"/>
        <v>2053.333333333333</v>
      </c>
      <c r="S14" s="54">
        <v>4</v>
      </c>
      <c r="T14" s="51">
        <f t="shared" si="6"/>
        <v>789.93939393939388</v>
      </c>
      <c r="U14" s="54">
        <v>0</v>
      </c>
      <c r="V14" s="51">
        <f t="shared" si="2"/>
        <v>0</v>
      </c>
      <c r="W14" s="54">
        <v>0</v>
      </c>
      <c r="X14" s="51">
        <f t="shared" si="7"/>
        <v>0</v>
      </c>
      <c r="Y14" s="54">
        <v>0</v>
      </c>
      <c r="Z14" s="51">
        <f t="shared" si="8"/>
        <v>0</v>
      </c>
      <c r="AA14" s="55"/>
      <c r="AB14" s="54">
        <v>3</v>
      </c>
      <c r="AC14" s="51">
        <f t="shared" si="9"/>
        <v>105</v>
      </c>
      <c r="AD14" s="54">
        <v>2</v>
      </c>
      <c r="AE14" s="51">
        <f t="shared" si="10"/>
        <v>13.999999999999998</v>
      </c>
      <c r="AF14" s="51">
        <v>0</v>
      </c>
      <c r="AG14" s="55">
        <v>0</v>
      </c>
      <c r="AH14" s="56">
        <f t="shared" si="11"/>
        <v>2962.272727272727</v>
      </c>
      <c r="AI14" s="57">
        <v>1</v>
      </c>
      <c r="AJ14" s="51">
        <f t="shared" si="19"/>
        <v>6</v>
      </c>
      <c r="AK14" s="51">
        <f t="shared" si="12"/>
        <v>0.75</v>
      </c>
      <c r="AL14" s="51"/>
      <c r="AM14" s="51">
        <f t="shared" si="13"/>
        <v>29.622727272727271</v>
      </c>
      <c r="AN14" s="54">
        <v>0</v>
      </c>
      <c r="AO14" s="51">
        <f t="shared" si="3"/>
        <v>0</v>
      </c>
      <c r="AP14" s="54">
        <v>0</v>
      </c>
      <c r="AQ14" s="51">
        <f t="shared" si="14"/>
        <v>0</v>
      </c>
      <c r="AR14" s="54"/>
      <c r="AS14" s="58">
        <f t="shared" si="15"/>
        <v>36.372727272727275</v>
      </c>
      <c r="AT14" s="59">
        <f t="shared" si="16"/>
        <v>2925.8999999999996</v>
      </c>
      <c r="AU14" s="43"/>
      <c r="AV14" s="69"/>
      <c r="AW14" s="45" t="s">
        <v>49</v>
      </c>
      <c r="AZ14" s="61" t="str">
        <f>VLOOKUP(C14,[2]ACTIVOS!$C$7:$H$140,3,0)</f>
        <v>PROMOTOR DE VENTA</v>
      </c>
    </row>
    <row r="15" spans="1:54" ht="15" x14ac:dyDescent="0.25">
      <c r="A15" s="61"/>
      <c r="B15" s="75"/>
      <c r="C15" s="76"/>
      <c r="D15" s="77"/>
      <c r="E15" s="78"/>
      <c r="F15" s="79"/>
      <c r="G15" s="80"/>
      <c r="H15" s="81"/>
      <c r="I15" s="82"/>
      <c r="J15" s="76"/>
      <c r="K15" s="83"/>
      <c r="L15" s="83"/>
      <c r="M15" s="83"/>
      <c r="N15" s="84"/>
      <c r="O15" s="83"/>
      <c r="P15" s="83"/>
      <c r="Q15" s="61"/>
      <c r="R15" s="83"/>
      <c r="S15" s="61"/>
      <c r="T15" s="83"/>
      <c r="U15" s="61"/>
      <c r="V15" s="83"/>
      <c r="W15" s="61"/>
      <c r="X15" s="83"/>
      <c r="Y15" s="61"/>
      <c r="Z15" s="83"/>
      <c r="AA15" s="83"/>
      <c r="AB15" s="61"/>
      <c r="AC15" s="83"/>
      <c r="AD15" s="61"/>
      <c r="AE15" s="83"/>
      <c r="AF15" s="83"/>
      <c r="AG15" s="83"/>
      <c r="AH15" s="85"/>
      <c r="AI15" s="61"/>
      <c r="AJ15" s="83"/>
      <c r="AK15" s="83"/>
      <c r="AL15" s="83"/>
      <c r="AM15" s="83"/>
      <c r="AN15" s="61"/>
      <c r="AO15" s="83"/>
      <c r="AP15" s="61"/>
      <c r="AQ15" s="83"/>
      <c r="AR15" s="61"/>
      <c r="AS15" s="86"/>
      <c r="AT15" s="87"/>
      <c r="AU15" s="61"/>
      <c r="AV15" s="88"/>
      <c r="AW15" s="89"/>
    </row>
    <row r="16" spans="1:54" ht="15.75" customHeight="1" x14ac:dyDescent="0.25">
      <c r="L16" s="91"/>
      <c r="P16" s="92"/>
      <c r="R16" s="93">
        <f>SUM(R7:R15)</f>
        <v>48067.750000000007</v>
      </c>
      <c r="S16" s="94"/>
      <c r="T16" s="93">
        <f>SUM(T7:T15)</f>
        <v>18108.864242424243</v>
      </c>
      <c r="U16" s="94"/>
      <c r="V16" s="93">
        <f>SUM(V7:V15)</f>
        <v>1060</v>
      </c>
      <c r="W16" s="94"/>
      <c r="X16" s="93"/>
      <c r="Y16" s="94"/>
      <c r="Z16" s="93">
        <f>SUM(Z7:Z15)</f>
        <v>177.76</v>
      </c>
      <c r="AA16" s="94"/>
      <c r="AB16" s="94"/>
      <c r="AC16" s="93">
        <f>SUM(AC7:AC15)</f>
        <v>205</v>
      </c>
      <c r="AD16" s="93"/>
      <c r="AE16" s="93">
        <f>SUM(AE7:AE15)</f>
        <v>102.2</v>
      </c>
      <c r="AF16" s="93">
        <f>SUM(AF7:AF15)</f>
        <v>0</v>
      </c>
      <c r="AG16" s="94"/>
      <c r="AH16" s="93">
        <f>SUM(AH7:AH15)</f>
        <v>67908.240909090906</v>
      </c>
      <c r="AI16" s="95"/>
      <c r="AJ16" s="93">
        <f>SUM(AJ7:AJ15)</f>
        <v>48</v>
      </c>
      <c r="AK16" s="93">
        <f>SUM(AK7:AK15)</f>
        <v>6</v>
      </c>
      <c r="AL16" s="93"/>
      <c r="AM16" s="93"/>
      <c r="AN16" s="95"/>
      <c r="AO16" s="93">
        <f>SUM(AO7:AO15)</f>
        <v>333.33333333333331</v>
      </c>
      <c r="AP16" s="95"/>
      <c r="AQ16" s="93">
        <f>SUM(AQ7:AQ15)</f>
        <v>186.66666666666666</v>
      </c>
      <c r="AR16" s="95"/>
      <c r="AS16" s="96">
        <f>SUM(AS7:AS15)</f>
        <v>1253.0824090909091</v>
      </c>
      <c r="AT16" s="93">
        <f>SUM(AT7:AT15)</f>
        <v>66655.158500000005</v>
      </c>
      <c r="AU16" s="93">
        <f>SUM(AU7:AU15)</f>
        <v>0</v>
      </c>
      <c r="AV16" s="94"/>
      <c r="AW16" s="94"/>
    </row>
    <row r="17" spans="10:46" ht="15.75" customHeight="1" x14ac:dyDescent="0.25">
      <c r="T17" s="97"/>
      <c r="U17" s="97"/>
      <c r="V17" s="97"/>
      <c r="X17" s="97"/>
      <c r="AT17" s="98"/>
    </row>
    <row r="18" spans="10:46" ht="15.75" customHeight="1" x14ac:dyDescent="0.25">
      <c r="T18" s="99"/>
      <c r="U18" s="99"/>
      <c r="W18" s="99"/>
      <c r="Y18" s="99"/>
      <c r="AS18" s="100" t="s">
        <v>94</v>
      </c>
      <c r="AT18" s="101">
        <f>+AT16</f>
        <v>66655.158500000005</v>
      </c>
    </row>
    <row r="19" spans="10:46" ht="15.75" customHeight="1" x14ac:dyDescent="0.25">
      <c r="J19" s="102"/>
      <c r="AD19" s="99"/>
      <c r="AS19" s="100" t="s">
        <v>95</v>
      </c>
      <c r="AT19" s="103">
        <f>+AT18/[1]LISTADOS!P5</f>
        <v>248.94550326797386</v>
      </c>
    </row>
    <row r="21" spans="10:46" ht="15.75" customHeight="1" x14ac:dyDescent="0.25">
      <c r="V21" s="99"/>
      <c r="X21" s="99"/>
      <c r="AT21" s="104"/>
    </row>
    <row r="23" spans="10:46" ht="15.75" customHeight="1" x14ac:dyDescent="0.25">
      <c r="V23" s="99"/>
      <c r="X23" s="99"/>
    </row>
    <row r="1048462" spans="50:50" ht="15.75" customHeight="1" x14ac:dyDescent="0.25">
      <c r="AX1048462" s="99"/>
    </row>
  </sheetData>
  <autoFilter ref="A6:AT14" xr:uid="{00000000-0009-0000-0000-000002000000}"/>
  <mergeCells count="3">
    <mergeCell ref="A5:K5"/>
    <mergeCell ref="L5:P5"/>
    <mergeCell ref="AI5:AS5"/>
  </mergeCells>
  <conditionalFormatting sqref="I6:K6">
    <cfRule type="colorScale" priority="5">
      <colorScale>
        <cfvo type="min"/>
        <cfvo type="max"/>
        <color rgb="FFF8696B"/>
        <color rgb="FFFCFCFF"/>
      </colorScale>
    </cfRule>
  </conditionalFormatting>
  <pageMargins left="0.23622047244094491" right="0.23622047244094491" top="0.74803149606299213" bottom="0.74803149606299213" header="0.31496062992125984" footer="0.31496062992125984"/>
  <pageSetup scale="80" orientation="landscape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'C:\Users\RECURSOSHUMANOS.GFO\Documents\NOMINA GFO\NOMINAS RRHH\1- CALCULO NOMINAS GFO FARMA OSPINOS\DICIEMBRE\2 SEMANA\GFO\[NOMINA SEMANAL GFO DEL 08 AL 14-12-2025.xlsx]DATOS'!#REF!</xm:f>
          </x14:formula1>
          <xm:sqref>AW15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20"/>
  <sheetViews>
    <sheetView showGridLines="0" zoomScale="55" zoomScaleNormal="55" zoomScaleSheetLayoutView="55" workbookViewId="0">
      <pane xSplit="8" ySplit="7" topLeftCell="I11" activePane="bottomRight" state="frozen"/>
      <selection pane="topRight" activeCell="I1" sqref="I1"/>
      <selection pane="bottomLeft" activeCell="A8" sqref="A8"/>
      <selection pane="bottomRight" activeCell="I21" sqref="I21"/>
    </sheetView>
  </sheetViews>
  <sheetFormatPr baseColWidth="10" defaultColWidth="11.42578125" defaultRowHeight="15.75" x14ac:dyDescent="0.25"/>
  <cols>
    <col min="1" max="1" width="42.140625" style="148" customWidth="1"/>
    <col min="2" max="2" width="22.28515625" style="119" customWidth="1"/>
    <col min="3" max="3" width="23" style="149" customWidth="1"/>
    <col min="4" max="4" width="26.7109375" style="119" customWidth="1"/>
    <col min="5" max="5" width="48.7109375" style="119" hidden="1" customWidth="1"/>
    <col min="6" max="6" width="45.28515625" style="119" hidden="1" customWidth="1"/>
    <col min="7" max="7" width="19.140625" style="119" hidden="1" customWidth="1"/>
    <col min="8" max="8" width="33.140625" style="119" customWidth="1"/>
    <col min="9" max="9" width="24.85546875" style="150" customWidth="1"/>
    <col min="10" max="10" width="22" style="119" customWidth="1"/>
    <col min="11" max="12" width="22.85546875" style="119" customWidth="1"/>
    <col min="13" max="13" width="29.28515625" style="150" customWidth="1"/>
    <col min="14" max="14" width="40" style="119" customWidth="1"/>
    <col min="15" max="16" width="9.85546875" style="119" customWidth="1"/>
    <col min="17" max="17" width="13.28515625" style="119" bestFit="1" customWidth="1"/>
    <col min="18" max="18" width="19" style="120" customWidth="1"/>
    <col min="19" max="16384" width="11.42578125" style="119"/>
  </cols>
  <sheetData>
    <row r="1" spans="1:21" s="106" customFormat="1" ht="69.75" customHeight="1" x14ac:dyDescent="0.25">
      <c r="A1" s="254" t="s">
        <v>96</v>
      </c>
      <c r="B1" s="254"/>
      <c r="C1" s="254"/>
      <c r="D1" s="254"/>
      <c r="E1" s="255"/>
      <c r="F1" s="255"/>
      <c r="G1" s="255"/>
      <c r="H1" s="254"/>
      <c r="I1" s="255"/>
      <c r="J1" s="255"/>
      <c r="K1" s="255"/>
      <c r="L1" s="255"/>
      <c r="M1" s="254"/>
      <c r="N1" s="254"/>
      <c r="O1" s="254"/>
      <c r="P1" s="254"/>
      <c r="R1" s="107">
        <v>10</v>
      </c>
    </row>
    <row r="2" spans="1:21" s="110" customFormat="1" ht="31.5" hidden="1" customHeight="1" x14ac:dyDescent="0.25">
      <c r="A2" s="108"/>
      <c r="B2" s="109" t="s">
        <v>97</v>
      </c>
      <c r="C2" s="256" t="s">
        <v>91</v>
      </c>
      <c r="D2" s="256"/>
      <c r="E2" s="256"/>
      <c r="F2" s="256"/>
      <c r="G2" s="256"/>
      <c r="H2" s="256"/>
      <c r="I2" s="256"/>
      <c r="J2" s="256"/>
      <c r="K2" s="256"/>
      <c r="L2" s="256"/>
      <c r="M2" s="256"/>
      <c r="N2" s="256"/>
      <c r="O2" s="256"/>
      <c r="P2" s="256"/>
      <c r="R2" s="111"/>
    </row>
    <row r="3" spans="1:21" s="110" customFormat="1" ht="31.5" hidden="1" customHeight="1" x14ac:dyDescent="0.25">
      <c r="A3" s="112"/>
      <c r="B3" s="113" t="s">
        <v>98</v>
      </c>
      <c r="C3" s="257" t="str">
        <f>+IFERROR(VLOOKUP(C2,[1]DATOS!$C$2:$E$9,2,0)," ")</f>
        <v>J-500304773</v>
      </c>
      <c r="D3" s="257"/>
      <c r="E3" s="257"/>
      <c r="F3" s="257"/>
      <c r="G3" s="257"/>
      <c r="H3" s="257"/>
      <c r="I3" s="258"/>
      <c r="J3" s="258"/>
      <c r="K3" s="258"/>
      <c r="L3" s="258"/>
      <c r="M3" s="257"/>
      <c r="N3" s="257"/>
      <c r="O3" s="257"/>
      <c r="P3" s="257"/>
      <c r="R3" s="111"/>
    </row>
    <row r="4" spans="1:21" s="110" customFormat="1" ht="31.5" hidden="1" customHeight="1" x14ac:dyDescent="0.25">
      <c r="A4" s="112"/>
      <c r="B4" s="113" t="s">
        <v>99</v>
      </c>
      <c r="C4" s="257" t="str">
        <f>+IFERROR(VLOOKUP(C2,[1]DATOS!$C$2:$E$9,3,0)," ")</f>
        <v>AV. LIBERTADOR ENTRE CALLE CEDEÑO Y NEGRO PRIMERO LOCAL NRO 3-  MUNICIPIO OSPINO PORTUGUESA</v>
      </c>
      <c r="D4" s="257"/>
      <c r="E4" s="257"/>
      <c r="F4" s="257"/>
      <c r="G4" s="257"/>
      <c r="H4" s="257"/>
      <c r="I4" s="258"/>
      <c r="J4" s="258"/>
      <c r="K4" s="258"/>
      <c r="L4" s="258"/>
      <c r="M4" s="257"/>
      <c r="N4" s="257"/>
      <c r="O4" s="257"/>
      <c r="P4" s="257"/>
      <c r="R4" s="111"/>
    </row>
    <row r="5" spans="1:21" s="110" customFormat="1" ht="31.5" customHeight="1" x14ac:dyDescent="0.4">
      <c r="A5" s="112"/>
      <c r="B5" s="114" t="s">
        <v>100</v>
      </c>
      <c r="C5" s="259" t="str">
        <f>+[1]LISTADOS!$A$4</f>
        <v>SEMANA DEL 08/12/2025 AL 14/12/2025</v>
      </c>
      <c r="D5" s="259"/>
      <c r="E5" s="259"/>
      <c r="F5" s="259"/>
      <c r="G5" s="259"/>
      <c r="H5" s="259"/>
      <c r="I5" s="260"/>
      <c r="J5" s="260"/>
      <c r="K5" s="260"/>
      <c r="L5" s="260"/>
      <c r="M5" s="259"/>
      <c r="N5" s="259"/>
      <c r="O5" s="259"/>
      <c r="P5" s="112"/>
      <c r="R5" s="111"/>
    </row>
    <row r="6" spans="1:21" ht="31.5" customHeight="1" thickBot="1" x14ac:dyDescent="0.3">
      <c r="A6" s="115"/>
      <c r="B6" s="116"/>
      <c r="C6" s="117"/>
      <c r="D6" s="117"/>
      <c r="E6" s="117"/>
      <c r="F6" s="117"/>
      <c r="G6" s="117"/>
      <c r="H6" s="117"/>
      <c r="I6" s="118"/>
      <c r="J6" s="117"/>
      <c r="K6" s="117"/>
      <c r="L6" s="117"/>
      <c r="M6" s="118"/>
      <c r="N6" s="117"/>
      <c r="O6" s="116"/>
      <c r="P6" s="116"/>
    </row>
    <row r="7" spans="1:21" ht="63.75" customHeight="1" thickBot="1" x14ac:dyDescent="0.3">
      <c r="A7" s="121" t="s">
        <v>101</v>
      </c>
      <c r="B7" s="122" t="s">
        <v>102</v>
      </c>
      <c r="C7" s="122" t="s">
        <v>103</v>
      </c>
      <c r="D7" s="122" t="s">
        <v>12</v>
      </c>
      <c r="E7" s="123" t="s">
        <v>16</v>
      </c>
      <c r="F7" s="123" t="s">
        <v>17</v>
      </c>
      <c r="G7" s="123" t="s">
        <v>18</v>
      </c>
      <c r="H7" s="122" t="s">
        <v>104</v>
      </c>
      <c r="I7" s="124" t="s">
        <v>105</v>
      </c>
      <c r="J7" s="122" t="s">
        <v>106</v>
      </c>
      <c r="K7" s="122" t="s">
        <v>107</v>
      </c>
      <c r="L7" s="122" t="s">
        <v>108</v>
      </c>
      <c r="M7" s="125" t="s">
        <v>109</v>
      </c>
      <c r="N7" s="126" t="s">
        <v>45</v>
      </c>
      <c r="O7" s="127" t="s">
        <v>110</v>
      </c>
      <c r="P7" s="127" t="s">
        <v>111</v>
      </c>
      <c r="Q7" s="119" t="s">
        <v>112</v>
      </c>
      <c r="R7" s="128">
        <v>241.58</v>
      </c>
    </row>
    <row r="8" spans="1:21" ht="53.25" customHeight="1" thickBot="1" x14ac:dyDescent="0.4">
      <c r="A8" s="129" t="s">
        <v>48</v>
      </c>
      <c r="B8" s="130">
        <f>+IFERROR(VLOOKUP($A8,'[1]CALCULO BS'!$B$6:$AV$1171,2,0)," ")</f>
        <v>15906403</v>
      </c>
      <c r="C8" s="131">
        <f>+IFERROR(VLOOKUP($A8,'[1]CALCULO BS'!$B$6:$AV$1171,3,0)," ")</f>
        <v>45362</v>
      </c>
      <c r="D8" s="132" t="str">
        <f>+IFERROR(VLOOKUP($A8,'[1]CALCULO BS'!$B$6:$AV$1171,4,0)," ")</f>
        <v>COORD. ADMINISTRATIVO</v>
      </c>
      <c r="E8" s="133" t="str">
        <f>+IFERROR(VLOOKUP($A8,'[1]CALCULO BS'!$B$6:$AV$1171,8,0)," ")</f>
        <v>BANCO MERCANTIL</v>
      </c>
      <c r="F8" s="133" t="str">
        <f>+IFERROR(VLOOKUP($A8,'[1]CALCULO BS'!$B$6:$AV$1171,9,0)," ")</f>
        <v>0105-0059-17-0059291494</v>
      </c>
      <c r="G8" s="133" t="str">
        <f>+IFERROR(VLOOKUP($A8,'[1]CALCULO BS'!$B$6:$AV$1171,10,0)," ")</f>
        <v>AHORRO</v>
      </c>
      <c r="H8" s="134" t="str">
        <f>+IFERROR(VLOOKUP($A8,'[1]CALCULO BS'!$B$6:$AV$1171,5,0)," ")</f>
        <v xml:space="preserve">FARMACIA LOS YANEZ DE OSPINO, C.A </v>
      </c>
      <c r="I8" s="135">
        <f>VLOOKUP(B8,LISTADOS!$C$7:Q$19,15,0)</f>
        <v>65626.599999999991</v>
      </c>
      <c r="J8" s="135">
        <f>(VLOOKUP(B8,'[1]CALCULO BS'!$C$7:$U$95,19,0)*($R$1*[1]LISTADOS!$P$5))-VLOOKUP(B8,'[1]CALCULO BS'!$C$7:$V$95,20,0)</f>
        <v>0</v>
      </c>
      <c r="K8" s="136"/>
      <c r="L8" s="137"/>
      <c r="M8" s="138">
        <f t="shared" ref="M8:M18" si="0">(I8+J8)-L8</f>
        <v>65626.599999999991</v>
      </c>
      <c r="N8" s="139"/>
      <c r="O8" s="139"/>
      <c r="P8" s="140"/>
      <c r="Q8" s="141">
        <f>+L8/R$7</f>
        <v>0</v>
      </c>
      <c r="S8" s="141"/>
      <c r="U8" s="141"/>
    </row>
    <row r="9" spans="1:21" ht="53.25" customHeight="1" thickBot="1" x14ac:dyDescent="0.4">
      <c r="A9" s="129" t="s">
        <v>56</v>
      </c>
      <c r="B9" s="130">
        <f>+IFERROR(VLOOKUP($A9,'[1]CALCULO BS'!$B$6:$AV$1171,2,0)," ")</f>
        <v>30329814</v>
      </c>
      <c r="C9" s="131">
        <f>+IFERROR(VLOOKUP($A9,'[1]CALCULO BS'!$B$6:$AV$1171,3,0)," ")</f>
        <v>45136</v>
      </c>
      <c r="D9" s="132" t="str">
        <f>+IFERROR(VLOOKUP($A9,'[1]CALCULO BS'!$B$6:$AV$1171,4,0)," ")</f>
        <v>CAJERO (A)</v>
      </c>
      <c r="E9" s="133" t="str">
        <f>+IFERROR(VLOOKUP($A9,'[1]CALCULO BS'!$B$6:$AV$1171,8,0)," ")</f>
        <v>BANCO VENEZUELA</v>
      </c>
      <c r="F9" s="133" t="str">
        <f>+IFERROR(VLOOKUP($A9,'[1]CALCULO BS'!$B$6:$AV$1171,9,0)," ")</f>
        <v>0102-0741-0800-0039-1379</v>
      </c>
      <c r="G9" s="133" t="str">
        <f>+IFERROR(VLOOKUP($A9,'[1]CALCULO BS'!$B$6:$AV$1171,10,0)," ")</f>
        <v>CORRIENTE</v>
      </c>
      <c r="H9" s="134" t="str">
        <f>+IFERROR(VLOOKUP($A9,'[1]CALCULO BS'!$B$6:$AV$1171,5,0)," ")</f>
        <v xml:space="preserve">FARMACIA LOS YANEZ DE OSPINO, C.A </v>
      </c>
      <c r="I9" s="135">
        <f>VLOOKUP(B9,LISTADOS!$C$7:Q$19,15,0)</f>
        <v>35723.599999999999</v>
      </c>
      <c r="J9" s="135">
        <f>(VLOOKUP(B9,'[1]CALCULO BS'!$C$7:$U$95,19,0)*($R$1*[1]LISTADOS!$P$5))-VLOOKUP(B9,'[1]CALCULO BS'!$C$7:$V$95,20,0)</f>
        <v>0</v>
      </c>
      <c r="K9" s="136"/>
      <c r="L9" s="137"/>
      <c r="M9" s="138">
        <f t="shared" si="0"/>
        <v>35723.599999999999</v>
      </c>
      <c r="N9" s="139"/>
      <c r="O9" s="142"/>
      <c r="P9" s="140"/>
      <c r="Q9" s="141">
        <f t="shared" ref="Q9:Q19" si="1">+L9/R$7</f>
        <v>0</v>
      </c>
      <c r="S9" s="141"/>
      <c r="U9" s="141"/>
    </row>
    <row r="10" spans="1:21" ht="53.25" customHeight="1" thickBot="1" x14ac:dyDescent="0.4">
      <c r="A10" s="129" t="s">
        <v>61</v>
      </c>
      <c r="B10" s="130">
        <f>+IFERROR(VLOOKUP($A10,'[1]CALCULO BS'!$B$6:$AV$1171,2,0)," ")</f>
        <v>31272373</v>
      </c>
      <c r="C10" s="131">
        <f>+IFERROR(VLOOKUP($A10,'[1]CALCULO BS'!$B$6:$AV$1171,3,0)," ")</f>
        <v>44998</v>
      </c>
      <c r="D10" s="132" t="str">
        <f>+IFERROR(VLOOKUP($A10,'[1]CALCULO BS'!$B$6:$AV$1171,4,0)," ")</f>
        <v>AUX. DE ALMACEN</v>
      </c>
      <c r="E10" s="133" t="str">
        <f>+IFERROR(VLOOKUP($A10,'[1]CALCULO BS'!$B$6:$AV$1171,8,0)," ")</f>
        <v>BANCO VENEZUELA</v>
      </c>
      <c r="F10" s="133" t="str">
        <f>+IFERROR(VLOOKUP($A10,'[1]CALCULO BS'!$B$6:$AV$1171,9,0)," ")</f>
        <v>0102-0346-5900-0142-7271</v>
      </c>
      <c r="G10" s="133" t="str">
        <f>+IFERROR(VLOOKUP($A10,'[1]CALCULO BS'!$B$6:$AV$1171,10,0)," ")</f>
        <v>CORRIENTE</v>
      </c>
      <c r="H10" s="134" t="str">
        <f>+IFERROR(VLOOKUP($A10,'[1]CALCULO BS'!$B$6:$AV$1171,5,0)," ")</f>
        <v xml:space="preserve">FARMACIA LOS YANEZ DE OSPINO, C.A </v>
      </c>
      <c r="I10" s="135">
        <f>VLOOKUP(B10,LISTADOS!$C$7:Q$19,15,0)</f>
        <v>29302.999999999996</v>
      </c>
      <c r="J10" s="135">
        <f>(VLOOKUP(B10,'[1]CALCULO BS'!$C$7:$U$95,19,0)*($R$1*[1]LISTADOS!$P$5))-VLOOKUP(B10,'[1]CALCULO BS'!$C$7:$V$95,20,0)</f>
        <v>0</v>
      </c>
      <c r="K10" s="136"/>
      <c r="L10" s="137"/>
      <c r="M10" s="138">
        <f t="shared" si="0"/>
        <v>29302.999999999996</v>
      </c>
      <c r="N10" s="139"/>
      <c r="O10" s="142"/>
      <c r="P10" s="140"/>
      <c r="Q10" s="141">
        <f t="shared" si="1"/>
        <v>0</v>
      </c>
      <c r="S10" s="141"/>
      <c r="U10" s="141"/>
    </row>
    <row r="11" spans="1:21" ht="53.25" customHeight="1" thickBot="1" x14ac:dyDescent="0.4">
      <c r="A11" s="129" t="s">
        <v>63</v>
      </c>
      <c r="B11" s="130">
        <f>+IFERROR(VLOOKUP($A11,'[1]CALCULO BS'!$B$6:$AV$1171,2,0)," ")</f>
        <v>19031701</v>
      </c>
      <c r="C11" s="131">
        <f>+IFERROR(VLOOKUP($A11,'[1]CALCULO BS'!$B$6:$AV$1171,3,0)," ")</f>
        <v>45474</v>
      </c>
      <c r="D11" s="132" t="str">
        <f>+IFERROR(VLOOKUP($A11,'[1]CALCULO BS'!$B$6:$AV$1171,4,0)," ")</f>
        <v>AUX. DE ALMACEN</v>
      </c>
      <c r="E11" s="133" t="str">
        <f>+IFERROR(VLOOKUP($A11,'[1]CALCULO BS'!$B$6:$AV$1171,8,0)," ")</f>
        <v>BANCO VENEZUELA</v>
      </c>
      <c r="F11" s="133" t="str">
        <f>+IFERROR(VLOOKUP($A11,'[1]CALCULO BS'!$B$6:$AV$1171,9,0)," ")</f>
        <v>0102-0346-54-0001448357</v>
      </c>
      <c r="G11" s="133" t="str">
        <f>+IFERROR(VLOOKUP($A11,'[1]CALCULO BS'!$B$6:$AV$1171,10,0)," ")</f>
        <v>CORRIENTE</v>
      </c>
      <c r="H11" s="134" t="str">
        <f>+IFERROR(VLOOKUP($A11,'[1]CALCULO BS'!$B$6:$AV$1171,5,0)," ")</f>
        <v xml:space="preserve">FARMACIA LOS YANEZ DE OSPINO, C.A </v>
      </c>
      <c r="I11" s="135">
        <f>VLOOKUP(B11,LISTADOS!$C$7:Q$19,15,0)</f>
        <v>29302.999999999996</v>
      </c>
      <c r="J11" s="135">
        <f>(VLOOKUP(B11,'[1]CALCULO BS'!$C$7:$U$95,19,0)*($R$1*[1]LISTADOS!$P$5))-VLOOKUP(B11,'[1]CALCULO BS'!$C$7:$V$95,20,0)</f>
        <v>0</v>
      </c>
      <c r="K11" s="136"/>
      <c r="L11" s="143"/>
      <c r="M11" s="138">
        <f t="shared" si="0"/>
        <v>29302.999999999996</v>
      </c>
      <c r="N11" s="139"/>
      <c r="O11" s="144"/>
      <c r="P11" s="140"/>
      <c r="Q11" s="141">
        <f t="shared" si="1"/>
        <v>0</v>
      </c>
      <c r="S11" s="141"/>
      <c r="U11" s="141"/>
    </row>
    <row r="12" spans="1:21" ht="53.25" customHeight="1" thickBot="1" x14ac:dyDescent="0.4">
      <c r="A12" s="129" t="s">
        <v>65</v>
      </c>
      <c r="B12" s="130">
        <f>+IFERROR(VLOOKUP($A12,'[1]CALCULO BS'!$B$6:$AV$1171,2,0)," ")</f>
        <v>12647713</v>
      </c>
      <c r="C12" s="131">
        <f>+IFERROR(VLOOKUP($A12,'[1]CALCULO BS'!$B$6:$AV$1171,3,0)," ")</f>
        <v>45079</v>
      </c>
      <c r="D12" s="132" t="str">
        <f>+IFERROR(VLOOKUP($A12,'[1]CALCULO BS'!$B$6:$AV$1171,4,0)," ")</f>
        <v>SUPERVISOR DE VENTAS</v>
      </c>
      <c r="E12" s="133" t="str">
        <f>+IFERROR(VLOOKUP($A12,'[1]CALCULO BS'!$B$6:$AV$1171,8,0)," ")</f>
        <v>BANCO PROVINCIAL</v>
      </c>
      <c r="F12" s="133" t="str">
        <f>+IFERROR(VLOOKUP($A12,'[1]CALCULO BS'!$B$6:$AV$1171,9,0)," ")</f>
        <v>0108-2422-26-0100104904</v>
      </c>
      <c r="G12" s="133" t="str">
        <f>+IFERROR(VLOOKUP($A12,'[1]CALCULO BS'!$B$6:$AV$1171,10,0)," ")</f>
        <v>CORRIENTE</v>
      </c>
      <c r="H12" s="134" t="str">
        <f>+IFERROR(VLOOKUP($A12,'[1]CALCULO BS'!$B$6:$AV$1171,5,0)," ")</f>
        <v xml:space="preserve">FARMACIA LOS YANEZ DE OSPINO, C.A </v>
      </c>
      <c r="I12" s="135">
        <f>VLOOKUP(B12,LISTADOS!$C$7:Q$19,15,0)</f>
        <v>40944.199999999997</v>
      </c>
      <c r="J12" s="135">
        <f>(VLOOKUP(B12,'[1]CALCULO BS'!$C$7:$U$95,19,0)*($R$1*[1]LISTADOS!$P$5))-VLOOKUP(B12,'[1]CALCULO BS'!$C$7:$V$95,20,0)</f>
        <v>0</v>
      </c>
      <c r="K12" s="136"/>
      <c r="L12" s="137"/>
      <c r="M12" s="138">
        <f t="shared" si="0"/>
        <v>40944.199999999997</v>
      </c>
      <c r="N12" s="139"/>
      <c r="O12" s="142"/>
      <c r="P12" s="140"/>
      <c r="Q12" s="141">
        <f t="shared" si="1"/>
        <v>0</v>
      </c>
      <c r="S12" s="141"/>
      <c r="U12" s="141"/>
    </row>
    <row r="13" spans="1:21" ht="53.25" customHeight="1" thickBot="1" x14ac:dyDescent="0.4">
      <c r="A13" s="129" t="s">
        <v>68</v>
      </c>
      <c r="B13" s="130">
        <f>+IFERROR(VLOOKUP($A13,'[1]CALCULO BS'!$B$6:$AV$1171,2,0)," ")</f>
        <v>13329198</v>
      </c>
      <c r="C13" s="131">
        <f>+IFERROR(VLOOKUP($A13,'[1]CALCULO BS'!$B$6:$AV$1171,3,0)," ")</f>
        <v>45378</v>
      </c>
      <c r="D13" s="132" t="str">
        <f>+IFERROR(VLOOKUP($A13,'[1]CALCULO BS'!$B$6:$AV$1171,4,0)," ")</f>
        <v>CAJERO (A)</v>
      </c>
      <c r="E13" s="133" t="str">
        <f>+IFERROR(VLOOKUP($A13,'[1]CALCULO BS'!$B$6:$AV$1171,8,0)," ")</f>
        <v>BANCO BANESCO</v>
      </c>
      <c r="F13" s="133" t="str">
        <f>+IFERROR(VLOOKUP($A13,'[1]CALCULO BS'!$B$6:$AV$1171,9,0)," ")</f>
        <v>0134-0946-36-0001095169</v>
      </c>
      <c r="G13" s="133" t="str">
        <f>+IFERROR(VLOOKUP($A13,'[1]CALCULO BS'!$B$6:$AV$1171,10,0)," ")</f>
        <v>CORRIENTE</v>
      </c>
      <c r="H13" s="134" t="str">
        <f>+IFERROR(VLOOKUP($A13,'[1]CALCULO BS'!$B$6:$AV$1171,5,0)," ")</f>
        <v xml:space="preserve">FARMACIA LOS YANEZ DE OSPINO, C.A </v>
      </c>
      <c r="I13" s="135">
        <f>VLOOKUP(B13,LISTADOS!$C$7:Q$19,15,0)</f>
        <v>35723.599999999999</v>
      </c>
      <c r="J13" s="135">
        <f>(VLOOKUP(B13,'[1]CALCULO BS'!$C$7:$U$95,19,0)*($R$1*[1]LISTADOS!$P$5))-VLOOKUP(B13,'[1]CALCULO BS'!$C$7:$V$95,20,0)</f>
        <v>2377.5</v>
      </c>
      <c r="K13" s="136"/>
      <c r="L13" s="137"/>
      <c r="M13" s="138">
        <f t="shared" si="0"/>
        <v>38101.1</v>
      </c>
      <c r="N13" s="139"/>
      <c r="O13" s="142"/>
      <c r="P13" s="140"/>
      <c r="Q13" s="141">
        <f t="shared" si="1"/>
        <v>0</v>
      </c>
      <c r="S13" s="141"/>
      <c r="U13" s="141"/>
    </row>
    <row r="14" spans="1:21" ht="53.25" customHeight="1" thickBot="1" x14ac:dyDescent="0.4">
      <c r="A14" s="129" t="s">
        <v>71</v>
      </c>
      <c r="B14" s="130">
        <f>+IFERROR(VLOOKUP($A14,'[1]CALCULO BS'!$B$6:$AV$1171,2,0)," ")</f>
        <v>27938750</v>
      </c>
      <c r="C14" s="131">
        <f>+IFERROR(VLOOKUP($A14,'[1]CALCULO BS'!$B$6:$AV$1171,3,0)," ")</f>
        <v>45474</v>
      </c>
      <c r="D14" s="132" t="str">
        <f>+IFERROR(VLOOKUP($A14,'[1]CALCULO BS'!$B$6:$AV$1171,4,0)," ")</f>
        <v>CAJERO (A)</v>
      </c>
      <c r="E14" s="133" t="str">
        <f>+IFERROR(VLOOKUP($A14,'[1]CALCULO BS'!$B$6:$AV$1171,8,0)," ")</f>
        <v>BANCO VENEZUELA</v>
      </c>
      <c r="F14" s="133" t="str">
        <f>+IFERROR(VLOOKUP($A14,'[1]CALCULO BS'!$B$6:$AV$1171,9,0)," ")</f>
        <v>0102-0346-58-0106623807</v>
      </c>
      <c r="G14" s="133" t="str">
        <f>+IFERROR(VLOOKUP($A14,'[1]CALCULO BS'!$B$6:$AV$1171,10,0)," ")</f>
        <v>AHORRO</v>
      </c>
      <c r="H14" s="134" t="str">
        <f>+IFERROR(VLOOKUP($A14,'[1]CALCULO BS'!$B$6:$AV$1171,5,0)," ")</f>
        <v xml:space="preserve">FARMACIA LOS YANEZ DE OSPINO, C.A </v>
      </c>
      <c r="I14" s="135">
        <f>VLOOKUP(B14,LISTADOS!$C$7:Q$19,15,0)</f>
        <v>35723.599999999999</v>
      </c>
      <c r="J14" s="135">
        <f>(VLOOKUP(B14,'[1]CALCULO BS'!$C$7:$U$95,19,0)*($R$1*[1]LISTADOS!$P$5))-VLOOKUP(B14,'[1]CALCULO BS'!$C$7:$V$95,20,0)</f>
        <v>0</v>
      </c>
      <c r="K14" s="136"/>
      <c r="L14" s="137"/>
      <c r="M14" s="138">
        <f t="shared" si="0"/>
        <v>35723.599999999999</v>
      </c>
      <c r="N14" s="139"/>
      <c r="O14" s="145"/>
      <c r="P14" s="140"/>
      <c r="Q14" s="141">
        <f t="shared" si="1"/>
        <v>0</v>
      </c>
      <c r="S14" s="141"/>
      <c r="U14" s="141"/>
    </row>
    <row r="15" spans="1:21" ht="53.25" customHeight="1" thickBot="1" x14ac:dyDescent="0.4">
      <c r="A15" s="129" t="s">
        <v>73</v>
      </c>
      <c r="B15" s="130">
        <f>+IFERROR(VLOOKUP($A15,'[1]CALCULO BS'!$B$6:$AV$1171,2,0)," ")</f>
        <v>25016178</v>
      </c>
      <c r="C15" s="131">
        <f>+IFERROR(VLOOKUP($A15,'[1]CALCULO BS'!$B$6:$AV$1171,3,0)," ")</f>
        <v>45691</v>
      </c>
      <c r="D15" s="132" t="str">
        <f>+IFERROR(VLOOKUP($A15,'[1]CALCULO BS'!$B$6:$AV$1171,4,0)," ")</f>
        <v>CAJERO (A)</v>
      </c>
      <c r="E15" s="133" t="str">
        <f>+IFERROR(VLOOKUP($A15,'[1]CALCULO BS'!$B$6:$AV$1171,8,0)," ")</f>
        <v>BANCO BANCAMIGA</v>
      </c>
      <c r="F15" s="133" t="str">
        <f>+IFERROR(VLOOKUP($A15,'[1]CALCULO BS'!$B$6:$AV$1171,9,0)," ")</f>
        <v>0172-0250-2325-0804-9679</v>
      </c>
      <c r="G15" s="133" t="str">
        <f>+IFERROR(VLOOKUP($A15,'[1]CALCULO BS'!$B$6:$AV$1171,10,0)," ")</f>
        <v>CORRIENTE</v>
      </c>
      <c r="H15" s="134" t="str">
        <f>+IFERROR(VLOOKUP($A15,'[1]CALCULO BS'!$B$6:$AV$1171,5,0)," ")</f>
        <v xml:space="preserve">FARMACIA LOS YANEZ DE OSPINO, C.A </v>
      </c>
      <c r="I15" s="135">
        <f>VLOOKUP(B15,LISTADOS!$C$7:Q$19,15,0)</f>
        <v>35723.599999999999</v>
      </c>
      <c r="J15" s="135">
        <f>(VLOOKUP(B15,'[1]CALCULO BS'!$C$7:$U$95,19,0)*($R$1*[1]LISTADOS!$P$5))-VLOOKUP(B15,'[1]CALCULO BS'!$C$7:$V$95,20,0)</f>
        <v>0</v>
      </c>
      <c r="K15" s="136"/>
      <c r="L15" s="137"/>
      <c r="M15" s="138">
        <f t="shared" si="0"/>
        <v>35723.599999999999</v>
      </c>
      <c r="N15" s="139"/>
      <c r="O15" s="142"/>
      <c r="P15" s="140"/>
      <c r="Q15" s="141">
        <f t="shared" si="1"/>
        <v>0</v>
      </c>
      <c r="S15" s="141"/>
      <c r="U15" s="141"/>
    </row>
    <row r="16" spans="1:21" ht="53.25" customHeight="1" thickBot="1" x14ac:dyDescent="0.4">
      <c r="A16" s="129" t="s">
        <v>76</v>
      </c>
      <c r="B16" s="130">
        <f>+IFERROR(VLOOKUP($A16,'[1]CALCULO BS'!$B$6:$AV$1171,2,0)," ")</f>
        <v>28427378</v>
      </c>
      <c r="C16" s="131">
        <f>+IFERROR(VLOOKUP($A16,'[1]CALCULO BS'!$B$6:$AV$1171,3,0)," ")</f>
        <v>45708</v>
      </c>
      <c r="D16" s="132" t="str">
        <f>+IFERROR(VLOOKUP($A16,'[1]CALCULO BS'!$B$6:$AV$1171,4,0)," ")</f>
        <v xml:space="preserve">SUPERVISOR DE ALMACEN </v>
      </c>
      <c r="E16" s="133" t="str">
        <f>+IFERROR(VLOOKUP($A16,'[1]CALCULO BS'!$B$6:$AV$1171,8,0)," ")</f>
        <v>BANCO VENEZUELA</v>
      </c>
      <c r="F16" s="133" t="str">
        <f>+IFERROR(VLOOKUP($A16,'[1]CALCULO BS'!$B$6:$AV$1171,9,0)," ")</f>
        <v>0102-0741-0200-0059-4888</v>
      </c>
      <c r="G16" s="133" t="str">
        <f>+IFERROR(VLOOKUP($A16,'[1]CALCULO BS'!$B$6:$AV$1171,10,0)," ")</f>
        <v>CORRIENTE</v>
      </c>
      <c r="H16" s="134" t="str">
        <f>+IFERROR(VLOOKUP($A16,'[1]CALCULO BS'!$B$6:$AV$1171,5,0)," ")</f>
        <v xml:space="preserve">FARMACIA LOS YANEZ DE OSPINO, C.A </v>
      </c>
      <c r="I16" s="135">
        <f>VLOOKUP(B16,LISTADOS!$C$7:Q$19,15,0)</f>
        <v>40944.199999999997</v>
      </c>
      <c r="J16" s="135">
        <f>(VLOOKUP(B16,'[1]CALCULO BS'!$C$7:$U$95,19,0)*($R$1*[1]LISTADOS!$P$5))-VLOOKUP(B16,'[1]CALCULO BS'!$C$7:$V$95,20,0)</f>
        <v>0</v>
      </c>
      <c r="K16" s="136"/>
      <c r="L16" s="137"/>
      <c r="M16" s="138">
        <f t="shared" si="0"/>
        <v>40944.199999999997</v>
      </c>
      <c r="N16" s="139"/>
      <c r="O16" s="142"/>
      <c r="P16" s="140"/>
      <c r="Q16" s="141">
        <f t="shared" si="1"/>
        <v>0</v>
      </c>
      <c r="S16" s="141"/>
      <c r="U16" s="141"/>
    </row>
    <row r="17" spans="1:21" ht="53.25" customHeight="1" thickBot="1" x14ac:dyDescent="0.4">
      <c r="A17" s="129" t="s">
        <v>78</v>
      </c>
      <c r="B17" s="130">
        <f>+IFERROR(VLOOKUP($A17,'[1]CALCULO BS'!$B$6:$AV$1171,2,0)," ")</f>
        <v>29632132</v>
      </c>
      <c r="C17" s="131">
        <f>+IFERROR(VLOOKUP($A17,'[1]CALCULO BS'!$B$6:$AV$1171,3,0)," ")</f>
        <v>45712</v>
      </c>
      <c r="D17" s="132" t="str">
        <f>+IFERROR(VLOOKUP($A17,'[1]CALCULO BS'!$B$6:$AV$1171,4,0)," ")</f>
        <v>CAJERO (A)</v>
      </c>
      <c r="E17" s="133" t="str">
        <f>+IFERROR(VLOOKUP($A17,'[1]CALCULO BS'!$B$6:$AV$1171,8,0)," ")</f>
        <v>BANCO PROVINCIAL</v>
      </c>
      <c r="F17" s="133" t="str">
        <f>+IFERROR(VLOOKUP($A17,'[1]CALCULO BS'!$B$6:$AV$1171,9,0)," ")</f>
        <v>0108-0064-18-0100331070</v>
      </c>
      <c r="G17" s="133" t="str">
        <f>+IFERROR(VLOOKUP($A17,'[1]CALCULO BS'!$B$6:$AV$1171,10,0)," ")</f>
        <v>CORRIENTE</v>
      </c>
      <c r="H17" s="134" t="str">
        <f>+IFERROR(VLOOKUP($A17,'[1]CALCULO BS'!$B$6:$AV$1171,5,0)," ")</f>
        <v xml:space="preserve">FARMACIA LOS YANEZ DE OSPINO, C.A </v>
      </c>
      <c r="I17" s="135">
        <f>VLOOKUP(B17,LISTADOS!$C$7:Q$19,15,0)</f>
        <v>42144.2</v>
      </c>
      <c r="J17" s="135">
        <f>(VLOOKUP(B17,'[1]CALCULO BS'!$C$7:$U$95,19,0)*($R$1*[1]LISTADOS!$P$5))-VLOOKUP(B17,'[1]CALCULO BS'!$C$7:$V$95,20,0)</f>
        <v>0</v>
      </c>
      <c r="K17" s="136"/>
      <c r="L17" s="146"/>
      <c r="M17" s="138">
        <f>(I17+J17)-L17</f>
        <v>42144.2</v>
      </c>
      <c r="N17" s="139"/>
      <c r="O17" s="142"/>
      <c r="P17" s="140"/>
      <c r="Q17" s="141">
        <f t="shared" si="1"/>
        <v>0</v>
      </c>
      <c r="S17" s="141"/>
      <c r="U17" s="141"/>
    </row>
    <row r="18" spans="1:21" ht="53.25" customHeight="1" thickBot="1" x14ac:dyDescent="0.4">
      <c r="A18" s="129" t="s">
        <v>80</v>
      </c>
      <c r="B18" s="130">
        <f>+IFERROR(VLOOKUP($A18,'[1]CALCULO BS'!$B$6:$AV$1171,2,0)," ")</f>
        <v>26940897</v>
      </c>
      <c r="C18" s="131">
        <f>+IFERROR(VLOOKUP($A18,'[1]CALCULO BS'!$B$6:$AV$1171,3,0)," ")</f>
        <v>45712</v>
      </c>
      <c r="D18" s="132" t="str">
        <f>+IFERROR(VLOOKUP($A18,'[1]CALCULO BS'!$B$6:$AV$1171,4,0)," ")</f>
        <v>GERENTE</v>
      </c>
      <c r="E18" s="133" t="str">
        <f>+IFERROR(VLOOKUP($A18,'[1]CALCULO BS'!$B$6:$AV$1171,8,0)," ")</f>
        <v>BANCO PROVINCIAL</v>
      </c>
      <c r="F18" s="133" t="str">
        <f>+IFERROR(VLOOKUP($A18,'[1]CALCULO BS'!$B$6:$AV$1171,9,0)," ")</f>
        <v>0108-0064-1401-0032-9645</v>
      </c>
      <c r="G18" s="133" t="str">
        <f>+IFERROR(VLOOKUP($A18,'[1]CALCULO BS'!$B$6:$AV$1171,10,0)," ")</f>
        <v>CORRIENTE</v>
      </c>
      <c r="H18" s="134" t="str">
        <f>+IFERROR(VLOOKUP($A18,'[1]CALCULO BS'!$B$6:$AV$1171,5,0)," ")</f>
        <v xml:space="preserve">FARMACIA LOS YANEZ DE OSPINO, C.A </v>
      </c>
      <c r="I18" s="135">
        <f>VLOOKUP(B18,LISTADOS!$C$7:Q$19,15,0)</f>
        <v>65626.599999999991</v>
      </c>
      <c r="J18" s="135">
        <f>(VLOOKUP(B18,'[1]CALCULO BS'!$C$7:$U$95,19,0)*($R$1*[1]LISTADOS!$P$5))-VLOOKUP(B18,'[1]CALCULO BS'!$C$7:$V$95,20,0)</f>
        <v>0</v>
      </c>
      <c r="K18" s="136"/>
      <c r="L18" s="137"/>
      <c r="M18" s="138">
        <f t="shared" si="0"/>
        <v>65626.599999999991</v>
      </c>
      <c r="N18" s="139"/>
      <c r="O18" s="142"/>
      <c r="P18" s="140"/>
      <c r="Q18" s="141">
        <f t="shared" si="1"/>
        <v>0</v>
      </c>
      <c r="S18" s="141"/>
      <c r="U18" s="141"/>
    </row>
    <row r="19" spans="1:21" ht="53.25" customHeight="1" x14ac:dyDescent="0.35">
      <c r="A19" s="129" t="s">
        <v>85</v>
      </c>
      <c r="B19" s="130">
        <v>30240358</v>
      </c>
      <c r="C19" s="147">
        <v>45999</v>
      </c>
      <c r="D19" s="132" t="s">
        <v>86</v>
      </c>
      <c r="E19" s="133"/>
      <c r="F19" s="133"/>
      <c r="G19" s="133"/>
      <c r="H19" s="134" t="str">
        <f>+IFERROR(VLOOKUP($A19,'[1]CALCULO BS'!$B$6:$AV$1171,5,0)," ")</f>
        <v xml:space="preserve">FARMACIA LOS YANEZ DE OSPINO, C.A </v>
      </c>
      <c r="I19" s="135">
        <f>VLOOKUP(B19,LISTADOS!$C$7:Q$19,15,0)</f>
        <v>22882.399999999998</v>
      </c>
      <c r="J19" s="135">
        <v>0</v>
      </c>
      <c r="K19" s="136"/>
      <c r="L19" s="137"/>
      <c r="M19" s="138">
        <f>(I19+J19)-L19</f>
        <v>22882.399999999998</v>
      </c>
      <c r="N19" s="139"/>
      <c r="O19" s="142"/>
      <c r="P19" s="140"/>
      <c r="Q19" s="141">
        <f t="shared" si="1"/>
        <v>0</v>
      </c>
      <c r="R19" s="128"/>
      <c r="S19" s="141"/>
      <c r="U19" s="141"/>
    </row>
    <row r="20" spans="1:21" x14ac:dyDescent="0.25">
      <c r="I20" s="135">
        <f>SUM(I8:I19)</f>
        <v>479668.6</v>
      </c>
    </row>
  </sheetData>
  <autoFilter ref="A7:P19" xr:uid="{00000000-0009-0000-0000-000003000000}"/>
  <mergeCells count="5">
    <mergeCell ref="A1:P1"/>
    <mergeCell ref="C2:P2"/>
    <mergeCell ref="C3:P3"/>
    <mergeCell ref="C4:P4"/>
    <mergeCell ref="C5:O5"/>
  </mergeCells>
  <conditionalFormatting sqref="E7:G7">
    <cfRule type="colorScale" priority="1">
      <colorScale>
        <cfvo type="min"/>
        <cfvo type="max"/>
        <color rgb="FFF8696B"/>
        <color rgb="FFFCFCFF"/>
      </colorScale>
    </cfRule>
  </conditionalFormatting>
  <printOptions horizontalCentered="1"/>
  <pageMargins left="0.25" right="0.25" top="0.75" bottom="0.75" header="0.3" footer="0.3"/>
  <pageSetup scale="37" fitToHeight="0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300-000000000000}">
          <x14:formula1>
            <xm:f>'C:\Users\RECURSOSHUMANOS.GFO\Documents\NOMINA GFO\NOMINAS RRHH\1- CALCULO NOMINAS GFO FARMA OSPINOS\DICIEMBRE\2 SEMANA\GFO\[NOMINA SEMANAL GFO DEL 08 AL 14-12-2025.xlsx]CALCULO BS'!#REF!</xm:f>
          </x14:formula1>
          <xm:sqref>A8:A18</xm:sqref>
        </x14:dataValidation>
        <x14:dataValidation type="list" allowBlank="1" showInputMessage="1" showErrorMessage="1" xr:uid="{00000000-0002-0000-0300-000002000000}">
          <x14:formula1>
            <xm:f>'C:\Users\RECURSOSHUMANOS.GFO\Documents\NOMINA GFO\NOMINAS RRHH\1- CALCULO NOMINAS GFO FARMA OSPINOS\DICIEMBRE\2 SEMANA\GFO\[NOMINA SEMANAL GFO DEL 08 AL 14-12-2025.xlsx]DATOS'!#REF!</xm:f>
          </x14:formula1>
          <xm:sqref>C2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249"/>
  <sheetViews>
    <sheetView showGridLines="0" view="pageBreakPreview" topLeftCell="A167" zoomScaleNormal="100" zoomScaleSheetLayoutView="100" workbookViewId="0">
      <selection activeCell="E180" sqref="E180:F180"/>
    </sheetView>
  </sheetViews>
  <sheetFormatPr baseColWidth="10" defaultRowHeight="15" x14ac:dyDescent="0.25"/>
  <cols>
    <col min="1" max="1" width="11.85546875" customWidth="1"/>
    <col min="2" max="2" width="13.7109375" customWidth="1"/>
    <col min="3" max="3" width="15.7109375" customWidth="1"/>
    <col min="4" max="4" width="13.7109375" customWidth="1"/>
    <col min="5" max="6" width="8.28515625" customWidth="1"/>
    <col min="7" max="7" width="14.5703125" customWidth="1"/>
  </cols>
  <sheetData>
    <row r="1" spans="1:7" ht="12" customHeight="1" x14ac:dyDescent="0.25">
      <c r="A1" s="261" t="str">
        <f>+D4</f>
        <v xml:space="preserve">FARMACIA LOS YANEZ DE OSPINO, C.A </v>
      </c>
      <c r="B1" s="262"/>
      <c r="C1" s="262"/>
      <c r="D1" s="262"/>
      <c r="E1" s="262"/>
      <c r="F1" s="262"/>
      <c r="G1" s="263"/>
    </row>
    <row r="2" spans="1:7" ht="12" customHeight="1" x14ac:dyDescent="0.25">
      <c r="A2" s="151"/>
      <c r="B2" s="151"/>
      <c r="C2" s="151"/>
      <c r="D2" s="151"/>
      <c r="E2" s="151"/>
      <c r="F2" s="151"/>
      <c r="G2" s="151"/>
    </row>
    <row r="3" spans="1:7" ht="11.25" customHeight="1" thickBot="1" x14ac:dyDescent="0.3">
      <c r="A3" s="264" t="s">
        <v>113</v>
      </c>
      <c r="B3" s="264"/>
      <c r="C3" s="264"/>
      <c r="D3" s="264"/>
      <c r="E3" s="264"/>
      <c r="F3" s="264"/>
      <c r="G3" s="264"/>
    </row>
    <row r="4" spans="1:7" ht="11.25" customHeight="1" thickTop="1" x14ac:dyDescent="0.25">
      <c r="A4" s="152"/>
      <c r="B4" s="152"/>
      <c r="C4" s="153" t="s">
        <v>163</v>
      </c>
      <c r="D4" s="265" t="s">
        <v>49</v>
      </c>
      <c r="E4" s="265"/>
      <c r="F4" s="265"/>
      <c r="G4" s="265"/>
    </row>
    <row r="5" spans="1:7" ht="11.25" customHeight="1" x14ac:dyDescent="0.25">
      <c r="A5" s="152"/>
      <c r="B5" s="152"/>
      <c r="C5" s="153" t="s">
        <v>98</v>
      </c>
      <c r="D5" s="265" t="str">
        <f>+VLOOKUP($D$4,[1]DATOS!$C$1:$E$9,2,0)</f>
        <v>J-500253052</v>
      </c>
      <c r="E5" s="265"/>
      <c r="F5" s="265"/>
      <c r="G5" s="265"/>
    </row>
    <row r="6" spans="1:7" ht="24" customHeight="1" x14ac:dyDescent="0.25">
      <c r="A6" s="152"/>
      <c r="B6" s="152"/>
      <c r="C6" s="153" t="s">
        <v>99</v>
      </c>
      <c r="D6" s="266" t="str">
        <f>+VLOOKUP($D$4,[1]DATOS!$C$1:$E$9,3,0)</f>
        <v>CARRERA 3 ESQUINA CALLE 10, BARRIO CURAZAO- MUNICIPIO GUANARE -PORTUGUESA</v>
      </c>
      <c r="E6" s="266"/>
      <c r="F6" s="266"/>
      <c r="G6" s="266"/>
    </row>
    <row r="7" spans="1:7" ht="11.25" customHeight="1" x14ac:dyDescent="0.25">
      <c r="A7" s="152"/>
      <c r="B7" s="152"/>
      <c r="C7" s="153" t="s">
        <v>100</v>
      </c>
      <c r="D7" s="265" t="str">
        <f>+[1]LISTADOS!$A$4</f>
        <v>SEMANA DEL 08/12/2025 AL 14/12/2025</v>
      </c>
      <c r="E7" s="265"/>
      <c r="F7" s="265"/>
      <c r="G7" s="265"/>
    </row>
    <row r="8" spans="1:7" ht="15.75" thickBot="1" x14ac:dyDescent="0.3">
      <c r="C8" s="153" t="s">
        <v>166</v>
      </c>
      <c r="D8" s="154">
        <f>VLOOKUP(A10,LISTADOS!$B$7:Q$19,13,0)</f>
        <v>10000</v>
      </c>
      <c r="E8" s="153"/>
      <c r="F8" s="154"/>
      <c r="G8" s="154"/>
    </row>
    <row r="9" spans="1:7" x14ac:dyDescent="0.25">
      <c r="A9" s="272" t="s">
        <v>114</v>
      </c>
      <c r="B9" s="273"/>
      <c r="C9" s="273" t="s">
        <v>115</v>
      </c>
      <c r="D9" s="273"/>
      <c r="E9" s="273" t="s">
        <v>11</v>
      </c>
      <c r="F9" s="273"/>
      <c r="G9" s="155" t="s">
        <v>116</v>
      </c>
    </row>
    <row r="10" spans="1:7" s="152" customFormat="1" ht="23.25" thickBot="1" x14ac:dyDescent="0.25">
      <c r="A10" s="274" t="s">
        <v>48</v>
      </c>
      <c r="B10" s="275"/>
      <c r="C10" s="276">
        <f>+VLOOKUP(A10,'[1]CALCULO BS'!$B$6:$AW$1286,2,0)</f>
        <v>15906403</v>
      </c>
      <c r="D10" s="276"/>
      <c r="E10" s="277">
        <f>+VLOOKUP(A10,'[1]CALCULO BS'!$B$6:$AW$1286,3,0)</f>
        <v>45362</v>
      </c>
      <c r="F10" s="277"/>
      <c r="G10" s="156" t="str">
        <f>+VLOOKUP(A10,'[1]CALCULO BS'!$B$6:$AW$1286,4,0)</f>
        <v>COORD. ADMINISTRATIVO</v>
      </c>
    </row>
    <row r="11" spans="1:7" ht="15.75" thickBot="1" x14ac:dyDescent="0.3">
      <c r="C11" s="157"/>
    </row>
    <row r="12" spans="1:7" ht="15.75" thickBot="1" x14ac:dyDescent="0.3">
      <c r="A12" s="268" t="s">
        <v>117</v>
      </c>
      <c r="B12" s="269"/>
      <c r="C12" s="158"/>
      <c r="D12" s="159" t="s">
        <v>8</v>
      </c>
      <c r="E12" s="270" t="s">
        <v>118</v>
      </c>
      <c r="F12" s="270"/>
      <c r="G12" s="160" t="s">
        <v>119</v>
      </c>
    </row>
    <row r="13" spans="1:7" ht="9.75" customHeight="1" x14ac:dyDescent="0.25">
      <c r="A13" s="161" t="s">
        <v>120</v>
      </c>
      <c r="B13" s="162"/>
      <c r="C13" s="163"/>
      <c r="D13" s="164">
        <f>+VLOOKUP(A10,'CALCULO BS'!$B$6:$AW$1286,16,0)</f>
        <v>11</v>
      </c>
      <c r="E13" s="271">
        <f>+VLOOKUP(A10,'CALCULO BS'!$B$6:$AW$1286,17,0)</f>
        <v>3666.6666666666665</v>
      </c>
      <c r="F13" s="271"/>
      <c r="G13" s="164"/>
    </row>
    <row r="14" spans="1:7" ht="9.75" customHeight="1" x14ac:dyDescent="0.25">
      <c r="A14" s="161" t="s">
        <v>121</v>
      </c>
      <c r="B14" s="162"/>
      <c r="C14" s="163"/>
      <c r="D14" s="164">
        <f>+VLOOKUP(A10,'CALCULO BS'!$B$6:$AW$1286,18,0)</f>
        <v>4</v>
      </c>
      <c r="E14" s="267">
        <f>+VLOOKUP(A10,'CALCULO BS'!$B$6:$AW$1286,19,0)</f>
        <v>1333.3333333333333</v>
      </c>
      <c r="F14" s="267"/>
      <c r="G14" s="165"/>
    </row>
    <row r="15" spans="1:7" ht="9.75" customHeight="1" x14ac:dyDescent="0.25">
      <c r="A15" s="161" t="s">
        <v>122</v>
      </c>
      <c r="B15" s="162"/>
      <c r="C15" s="163"/>
      <c r="D15" s="164">
        <f>+VLOOKUP(A10,'[1]CALCULO BS'!$B$6:$AW$1286,20,0)</f>
        <v>0</v>
      </c>
      <c r="E15" s="267">
        <f>+VLOOKUP(A10,'[1]CALCULO BS'!$B$6:$AW$1286,21,0)</f>
        <v>0</v>
      </c>
      <c r="F15" s="267"/>
      <c r="G15" s="165"/>
    </row>
    <row r="16" spans="1:7" ht="9.75" customHeight="1" x14ac:dyDescent="0.25">
      <c r="A16" s="161" t="s">
        <v>152</v>
      </c>
      <c r="B16" s="162"/>
      <c r="C16" s="163"/>
      <c r="D16" s="164">
        <f>+VLOOKUP(A10,'[1]CALCULO BS'!$B$6:$AW$1286,22,0)</f>
        <v>0</v>
      </c>
      <c r="E16" s="267">
        <f>+VLOOKUP(A10,'CALCULO BS'!$B$6:$AW$1203,23,0)</f>
        <v>0</v>
      </c>
      <c r="F16" s="267"/>
      <c r="G16" s="165"/>
    </row>
    <row r="17" spans="1:7" ht="9.75" customHeight="1" x14ac:dyDescent="0.25">
      <c r="A17" s="161" t="s">
        <v>125</v>
      </c>
      <c r="B17" s="152"/>
      <c r="C17" s="152"/>
      <c r="D17" s="164">
        <f>+VLOOKUP(A10,'[1]CALCULO BS'!$B$6:$AW$1286,25,0)</f>
        <v>0</v>
      </c>
      <c r="E17" s="267">
        <f>+VLOOKUP(A10,'[1]CALCULO BS'!$B$6:$AW$1286,26,0)</f>
        <v>0</v>
      </c>
      <c r="F17" s="267"/>
      <c r="G17" s="166"/>
    </row>
    <row r="18" spans="1:7" ht="9.75" customHeight="1" x14ac:dyDescent="0.25">
      <c r="A18" s="161" t="s">
        <v>126</v>
      </c>
      <c r="B18" s="152"/>
      <c r="C18" s="152"/>
      <c r="D18" s="164">
        <f>+VLOOKUP(A10,'[1]CALCULO BS'!$B$6:$AW$1286,27,0)</f>
        <v>0</v>
      </c>
      <c r="E18" s="267">
        <f>+VLOOKUP(A10,'[1]CALCULO BS'!$B$6:$AW$1286,28,0)</f>
        <v>0</v>
      </c>
      <c r="F18" s="267"/>
      <c r="G18" s="166"/>
    </row>
    <row r="19" spans="1:7" ht="9.75" customHeight="1" x14ac:dyDescent="0.25">
      <c r="A19" s="167" t="s">
        <v>127</v>
      </c>
      <c r="B19" s="168"/>
      <c r="C19" s="168"/>
      <c r="D19" s="164" t="str">
        <f>+IF(VLOOKUP(A10,'[1]CALCULO BS'!$B$6:$AW$1286,32,0)&gt;1,"1","0")</f>
        <v>0</v>
      </c>
      <c r="E19" s="267"/>
      <c r="F19" s="267"/>
      <c r="G19" s="165">
        <f>VLOOKUP(C$10,'[1]CALCULO BS'!C$7:AW$95,34,0)</f>
        <v>6</v>
      </c>
    </row>
    <row r="20" spans="1:7" ht="9.75" customHeight="1" x14ac:dyDescent="0.25">
      <c r="A20" s="167" t="s">
        <v>128</v>
      </c>
      <c r="B20" s="168"/>
      <c r="C20" s="168"/>
      <c r="D20" s="164" t="str">
        <f>+IF(VLOOKUP(A10,'[1]CALCULO BS'!$B$6:$AW$1286,32,0)&gt;1,"1","0")</f>
        <v>0</v>
      </c>
      <c r="E20" s="267"/>
      <c r="F20" s="267"/>
      <c r="G20" s="165">
        <f>VLOOKUP(C10,'[1]CALCULO BS'!C$7:AW$95,35,0)</f>
        <v>0.75</v>
      </c>
    </row>
    <row r="21" spans="1:7" ht="9.75" customHeight="1" x14ac:dyDescent="0.25">
      <c r="A21" s="167" t="s">
        <v>129</v>
      </c>
      <c r="B21" s="168"/>
      <c r="C21" s="168"/>
      <c r="D21" s="164">
        <v>0</v>
      </c>
      <c r="E21" s="267"/>
      <c r="F21" s="267"/>
      <c r="G21" s="165">
        <f>VLOOKUP(C10,'[1]CALCULO BS'!C$7:AW$95,37,0)</f>
        <v>25</v>
      </c>
    </row>
    <row r="22" spans="1:7" ht="9.75" customHeight="1" x14ac:dyDescent="0.25">
      <c r="A22" s="161" t="s">
        <v>130</v>
      </c>
      <c r="B22" s="169"/>
      <c r="C22" s="169"/>
      <c r="D22" s="164">
        <f>+'CALCULO BS'!AN7</f>
        <v>1</v>
      </c>
      <c r="E22" s="267"/>
      <c r="F22" s="267"/>
      <c r="G22" s="165">
        <f>VLOOKUP(C10,'CALCULO BS'!C$7:AW$14,39,0)</f>
        <v>333.33333333333331</v>
      </c>
    </row>
    <row r="23" spans="1:7" ht="9.75" hidden="1" customHeight="1" x14ac:dyDescent="0.25">
      <c r="A23" s="167" t="s">
        <v>131</v>
      </c>
      <c r="B23" s="168"/>
      <c r="C23" s="168"/>
      <c r="D23" s="164">
        <f>+VLOOKUP(A10,'[1]CALCULO BS'!$B$6:$AW$1286,37,0)</f>
        <v>0</v>
      </c>
      <c r="E23" s="267"/>
      <c r="F23" s="267"/>
      <c r="G23" s="165">
        <v>0</v>
      </c>
    </row>
    <row r="24" spans="1:7" ht="9.75" hidden="1" customHeight="1" thickBot="1" x14ac:dyDescent="0.3">
      <c r="A24" s="170" t="s">
        <v>132</v>
      </c>
      <c r="B24" s="171"/>
      <c r="C24" s="171"/>
      <c r="D24" s="172">
        <v>0</v>
      </c>
      <c r="E24" s="278"/>
      <c r="F24" s="278"/>
      <c r="G24" s="173">
        <v>0</v>
      </c>
    </row>
    <row r="25" spans="1:7" x14ac:dyDescent="0.25">
      <c r="B25" s="279"/>
      <c r="C25" s="279"/>
      <c r="D25" s="279"/>
      <c r="E25" s="280">
        <f>SUM(E13:F24)</f>
        <v>5000</v>
      </c>
      <c r="F25" s="280"/>
      <c r="G25" s="174">
        <f>SUM(G13:G24)</f>
        <v>365.08333333333331</v>
      </c>
    </row>
    <row r="26" spans="1:7" x14ac:dyDescent="0.25">
      <c r="C26" s="175"/>
      <c r="E26" s="281" t="s">
        <v>133</v>
      </c>
      <c r="F26" s="282"/>
      <c r="G26" s="176">
        <f>+E25-G25</f>
        <v>4634.916666666667</v>
      </c>
    </row>
    <row r="27" spans="1:7" ht="42.75" customHeight="1" thickBot="1" x14ac:dyDescent="0.3">
      <c r="F27" s="177"/>
      <c r="G27" s="177"/>
    </row>
    <row r="28" spans="1:7" x14ac:dyDescent="0.25">
      <c r="F28" s="283" t="s">
        <v>134</v>
      </c>
      <c r="G28" s="283"/>
    </row>
    <row r="29" spans="1:7" ht="6.75" customHeight="1" x14ac:dyDescent="0.25">
      <c r="A29" s="178"/>
      <c r="B29" s="178"/>
      <c r="C29" s="178"/>
      <c r="D29" s="178"/>
      <c r="E29" s="178"/>
      <c r="F29" s="178"/>
      <c r="G29" s="178"/>
    </row>
    <row r="30" spans="1:7" ht="11.25" customHeight="1" thickBot="1" x14ac:dyDescent="0.3">
      <c r="A30" s="264" t="s">
        <v>113</v>
      </c>
      <c r="B30" s="264"/>
      <c r="C30" s="264"/>
      <c r="D30" s="264"/>
      <c r="E30" s="264"/>
      <c r="F30" s="264"/>
      <c r="G30" s="264"/>
    </row>
    <row r="31" spans="1:7" ht="11.25" customHeight="1" thickTop="1" x14ac:dyDescent="0.25">
      <c r="A31" s="152"/>
      <c r="B31" s="152"/>
      <c r="C31" s="153" t="s">
        <v>163</v>
      </c>
      <c r="D31" s="265" t="s">
        <v>49</v>
      </c>
      <c r="E31" s="265"/>
      <c r="F31" s="265"/>
      <c r="G31" s="265"/>
    </row>
    <row r="32" spans="1:7" ht="11.25" customHeight="1" x14ac:dyDescent="0.25">
      <c r="A32" s="152"/>
      <c r="B32" s="152"/>
      <c r="C32" s="153" t="s">
        <v>98</v>
      </c>
      <c r="D32" s="265" t="str">
        <f>+VLOOKUP($D$4,[1]DATOS!$C$1:$E$9,2,0)</f>
        <v>J-500253052</v>
      </c>
      <c r="E32" s="265"/>
      <c r="F32" s="265"/>
      <c r="G32" s="265"/>
    </row>
    <row r="33" spans="1:7" ht="24" customHeight="1" x14ac:dyDescent="0.25">
      <c r="A33" s="152"/>
      <c r="B33" s="152"/>
      <c r="C33" s="153" t="s">
        <v>99</v>
      </c>
      <c r="D33" s="266" t="str">
        <f>+VLOOKUP($D$4,[1]DATOS!$C$1:$E$9,3,0)</f>
        <v>CARRERA 3 ESQUINA CALLE 10, BARRIO CURAZAO- MUNICIPIO GUANARE -PORTUGUESA</v>
      </c>
      <c r="E33" s="266"/>
      <c r="F33" s="266"/>
      <c r="G33" s="266"/>
    </row>
    <row r="34" spans="1:7" ht="11.25" customHeight="1" x14ac:dyDescent="0.25">
      <c r="A34" s="152"/>
      <c r="B34" s="152"/>
      <c r="C34" s="153" t="s">
        <v>100</v>
      </c>
      <c r="D34" s="265" t="str">
        <f>+[1]LISTADOS!$A$4</f>
        <v>SEMANA DEL 08/12/2025 AL 14/12/2025</v>
      </c>
      <c r="E34" s="265"/>
      <c r="F34" s="265"/>
      <c r="G34" s="265"/>
    </row>
    <row r="35" spans="1:7" ht="15.75" thickBot="1" x14ac:dyDescent="0.3">
      <c r="C35" s="153" t="s">
        <v>166</v>
      </c>
      <c r="D35" s="154">
        <f>VLOOKUP(A37,LISTADOS!$B$7:Q$19,13,0)</f>
        <v>5600</v>
      </c>
      <c r="E35" s="153"/>
      <c r="F35" s="154"/>
      <c r="G35" s="154"/>
    </row>
    <row r="36" spans="1:7" x14ac:dyDescent="0.25">
      <c r="A36" s="272" t="s">
        <v>114</v>
      </c>
      <c r="B36" s="273"/>
      <c r="C36" s="273" t="s">
        <v>115</v>
      </c>
      <c r="D36" s="273"/>
      <c r="E36" s="273" t="s">
        <v>11</v>
      </c>
      <c r="F36" s="273"/>
      <c r="G36" s="155" t="s">
        <v>116</v>
      </c>
    </row>
    <row r="37" spans="1:7" s="152" customFormat="1" ht="16.5" customHeight="1" thickBot="1" x14ac:dyDescent="0.25">
      <c r="A37" s="274" t="s">
        <v>56</v>
      </c>
      <c r="B37" s="275"/>
      <c r="C37" s="276">
        <f>+VLOOKUP(A37,'[1]CALCULO BS'!$B$6:$AW$1286,2,0)</f>
        <v>30329814</v>
      </c>
      <c r="D37" s="276"/>
      <c r="E37" s="277">
        <f>+VLOOKUP(A37,'[1]CALCULO BS'!$B$6:$AW$1286,3,0)</f>
        <v>45136</v>
      </c>
      <c r="F37" s="277"/>
      <c r="G37" s="156" t="str">
        <f>+VLOOKUP(A37,'[1]CALCULO BS'!$B$6:$AW$1286,4,0)</f>
        <v>CAJERO (A)</v>
      </c>
    </row>
    <row r="38" spans="1:7" ht="15.75" thickBot="1" x14ac:dyDescent="0.3">
      <c r="C38" s="157"/>
    </row>
    <row r="39" spans="1:7" ht="15.75" thickBot="1" x14ac:dyDescent="0.3">
      <c r="A39" s="268" t="s">
        <v>117</v>
      </c>
      <c r="B39" s="269"/>
      <c r="C39" s="158"/>
      <c r="D39" s="159" t="s">
        <v>8</v>
      </c>
      <c r="E39" s="270" t="s">
        <v>118</v>
      </c>
      <c r="F39" s="270"/>
      <c r="G39" s="160" t="s">
        <v>119</v>
      </c>
    </row>
    <row r="40" spans="1:7" ht="9.75" customHeight="1" x14ac:dyDescent="0.25">
      <c r="A40" s="161" t="s">
        <v>120</v>
      </c>
      <c r="B40" s="162"/>
      <c r="C40" s="163"/>
      <c r="D40" s="164">
        <f>+VLOOKUP(A37,'CALCULO BS'!$B$6:$AW$1286,16,0)</f>
        <v>10</v>
      </c>
      <c r="E40" s="271">
        <f>+VLOOKUP(A37,'CALCULO BS'!$B$6:$AW$1286,17,0)</f>
        <v>1866.6666666666665</v>
      </c>
      <c r="F40" s="271"/>
      <c r="G40" s="164"/>
    </row>
    <row r="41" spans="1:7" ht="9.75" customHeight="1" x14ac:dyDescent="0.25">
      <c r="A41" s="161" t="s">
        <v>121</v>
      </c>
      <c r="B41" s="162"/>
      <c r="C41" s="163"/>
      <c r="D41" s="164">
        <f>+VLOOKUP(A37,'CALCULO BS'!$B$6:$AW$1286,18,0)</f>
        <v>4</v>
      </c>
      <c r="E41" s="267">
        <f>+VLOOKUP(A37,'CALCULO BS'!$B$6:$AW$1286,19,0)</f>
        <v>872.92121212121197</v>
      </c>
      <c r="F41" s="267"/>
      <c r="G41" s="165"/>
    </row>
    <row r="42" spans="1:7" ht="12" customHeight="1" x14ac:dyDescent="0.25">
      <c r="A42" s="161" t="s">
        <v>122</v>
      </c>
      <c r="B42" s="162"/>
      <c r="C42" s="163"/>
      <c r="D42" s="164">
        <f>+VLOOKUP(A37,'[1]CALCULO BS'!$B$6:$AW$1286,20,0)</f>
        <v>0</v>
      </c>
      <c r="E42" s="267">
        <f>+VLOOKUP(A37,'[1]CALCULO BS'!$B$6:$AW$1286,21,0)</f>
        <v>0</v>
      </c>
      <c r="F42" s="267"/>
      <c r="G42" s="165"/>
    </row>
    <row r="43" spans="1:7" ht="10.5" customHeight="1" x14ac:dyDescent="0.25">
      <c r="A43" s="161" t="s">
        <v>152</v>
      </c>
      <c r="B43" s="162"/>
      <c r="C43" s="163"/>
      <c r="D43" s="164">
        <f>+VLOOKUP(A37,'[1]CALCULO BS'!$B$6:$AW$1286,22,0)</f>
        <v>1</v>
      </c>
      <c r="E43" s="267">
        <f>+VLOOKUP(A37,'CALCULO BS'!$B$6:$AW$1286,23,0)</f>
        <v>186.66666666666666</v>
      </c>
      <c r="F43" s="267"/>
      <c r="G43" s="165"/>
    </row>
    <row r="44" spans="1:7" ht="10.5" customHeight="1" x14ac:dyDescent="0.25">
      <c r="A44" s="161" t="s">
        <v>125</v>
      </c>
      <c r="B44" s="152"/>
      <c r="C44" s="152"/>
      <c r="D44" s="164">
        <f>+VLOOKUP(A37,'[1]CALCULO BS'!$B$6:$AW$1286,25,0)</f>
        <v>0</v>
      </c>
      <c r="E44" s="267">
        <f>+VLOOKUP(A37,'[1]CALCULO BS'!$B$6:$AW$1286,26,0)</f>
        <v>0</v>
      </c>
      <c r="F44" s="267"/>
      <c r="G44" s="166"/>
    </row>
    <row r="45" spans="1:7" ht="10.5" customHeight="1" x14ac:dyDescent="0.25">
      <c r="A45" s="161" t="s">
        <v>162</v>
      </c>
      <c r="B45" s="152"/>
      <c r="C45" s="152"/>
      <c r="D45" s="164">
        <f>VLOOKUP(A37,'CALCULO BS'!$B$7:AJ$14,29,0)</f>
        <v>9</v>
      </c>
      <c r="E45" s="267">
        <f>VLOOKUP(A37,'CALCULO BS'!$B$7:AO$14,30,0)</f>
        <v>67.2</v>
      </c>
      <c r="F45" s="267"/>
      <c r="G45" s="166"/>
    </row>
    <row r="46" spans="1:7" ht="12" customHeight="1" x14ac:dyDescent="0.25">
      <c r="A46" s="161" t="s">
        <v>126</v>
      </c>
      <c r="B46" s="152"/>
      <c r="C46" s="152"/>
      <c r="D46" s="164">
        <f>+VLOOKUP(A37,'[1]CALCULO BS'!$B$6:$AW$1286,27,0)</f>
        <v>0</v>
      </c>
      <c r="E46" s="267">
        <f>+VLOOKUP(A37,'[1]CALCULO BS'!$B$6:$AW$1286,28,0)</f>
        <v>0</v>
      </c>
      <c r="F46" s="267"/>
      <c r="G46" s="166"/>
    </row>
    <row r="47" spans="1:7" ht="9.75" customHeight="1" x14ac:dyDescent="0.25">
      <c r="A47" s="167" t="s">
        <v>127</v>
      </c>
      <c r="B47" s="168"/>
      <c r="C47" s="168"/>
      <c r="D47" s="164">
        <v>0</v>
      </c>
      <c r="E47" s="267"/>
      <c r="F47" s="267"/>
      <c r="G47" s="165">
        <f>VLOOKUP(C$10,'CALCULO BS'!C$7:AW$95,34,0)</f>
        <v>6</v>
      </c>
    </row>
    <row r="48" spans="1:7" ht="9.75" customHeight="1" x14ac:dyDescent="0.25">
      <c r="A48" s="167" t="s">
        <v>128</v>
      </c>
      <c r="B48" s="168"/>
      <c r="C48" s="168"/>
      <c r="D48" s="164">
        <v>0</v>
      </c>
      <c r="E48" s="267"/>
      <c r="F48" s="267"/>
      <c r="G48" s="165">
        <f>VLOOKUP(C$10,'CALCULO BS'!C$7:AW$95,35,0)</f>
        <v>0.75</v>
      </c>
    </row>
    <row r="49" spans="1:7" ht="9.75" customHeight="1" x14ac:dyDescent="0.25">
      <c r="A49" s="167" t="s">
        <v>129</v>
      </c>
      <c r="B49" s="168"/>
      <c r="C49" s="168"/>
      <c r="D49" s="164">
        <v>0</v>
      </c>
      <c r="E49" s="267"/>
      <c r="F49" s="267"/>
      <c r="G49" s="165">
        <f>VLOOKUP(C$37,'CALCULO BS'!C$7:AW$95,37,0)</f>
        <v>32.734545454545447</v>
      </c>
    </row>
    <row r="50" spans="1:7" ht="9.75" customHeight="1" x14ac:dyDescent="0.25">
      <c r="A50" s="161" t="s">
        <v>130</v>
      </c>
      <c r="B50" s="169"/>
      <c r="C50" s="169"/>
      <c r="D50" s="164">
        <v>0</v>
      </c>
      <c r="E50" s="267"/>
      <c r="F50" s="267"/>
      <c r="G50" s="165">
        <v>0</v>
      </c>
    </row>
    <row r="51" spans="1:7" ht="9.75" customHeight="1" x14ac:dyDescent="0.25">
      <c r="A51" s="167" t="s">
        <v>131</v>
      </c>
      <c r="B51" s="168"/>
      <c r="C51" s="168"/>
      <c r="D51" s="164">
        <f>+VLOOKUP(A37,'CALCULO BS'!$B$6:$AW$1286,41,0)</f>
        <v>1</v>
      </c>
      <c r="E51" s="267"/>
      <c r="F51" s="267"/>
      <c r="G51" s="165">
        <f>VLOOKUP(C$37,'CALCULO BS'!C$7:AW$95,41,0)</f>
        <v>186.66666666666666</v>
      </c>
    </row>
    <row r="52" spans="1:7" ht="15.75" thickBot="1" x14ac:dyDescent="0.3">
      <c r="A52" s="170" t="s">
        <v>132</v>
      </c>
      <c r="B52" s="171"/>
      <c r="C52" s="171"/>
      <c r="D52" s="172">
        <v>0</v>
      </c>
      <c r="E52" s="278"/>
      <c r="F52" s="278"/>
      <c r="G52" s="173">
        <v>0</v>
      </c>
    </row>
    <row r="53" spans="1:7" ht="15.75" thickTop="1" x14ac:dyDescent="0.25">
      <c r="B53" s="279"/>
      <c r="C53" s="279"/>
      <c r="D53" s="279"/>
      <c r="E53" s="280">
        <f>SUM(E40:F52)</f>
        <v>2993.4545454545446</v>
      </c>
      <c r="F53" s="280"/>
      <c r="G53" s="174">
        <f>SUM(G40:G52)</f>
        <v>226.1512121212121</v>
      </c>
    </row>
    <row r="54" spans="1:7" x14ac:dyDescent="0.25">
      <c r="C54" s="175"/>
      <c r="E54" s="281" t="s">
        <v>133</v>
      </c>
      <c r="F54" s="282"/>
      <c r="G54" s="176">
        <f>+E53-G53</f>
        <v>2767.3033333333324</v>
      </c>
    </row>
    <row r="55" spans="1:7" ht="15.75" thickBot="1" x14ac:dyDescent="0.3">
      <c r="F55" s="177"/>
      <c r="G55" s="177"/>
    </row>
    <row r="56" spans="1:7" x14ac:dyDescent="0.25">
      <c r="F56" s="283" t="s">
        <v>134</v>
      </c>
      <c r="G56" s="283"/>
    </row>
    <row r="57" spans="1:7" ht="11.25" customHeight="1" thickBot="1" x14ac:dyDescent="0.3">
      <c r="A57" s="264" t="s">
        <v>113</v>
      </c>
      <c r="B57" s="264"/>
      <c r="C57" s="264"/>
      <c r="D57" s="264"/>
      <c r="E57" s="264"/>
      <c r="F57" s="264"/>
      <c r="G57" s="264"/>
    </row>
    <row r="58" spans="1:7" ht="11.25" customHeight="1" thickTop="1" x14ac:dyDescent="0.25">
      <c r="A58" s="152"/>
      <c r="B58" s="152"/>
      <c r="C58" s="153" t="s">
        <v>163</v>
      </c>
      <c r="D58" s="265" t="s">
        <v>49</v>
      </c>
      <c r="E58" s="265"/>
      <c r="F58" s="265"/>
      <c r="G58" s="265"/>
    </row>
    <row r="59" spans="1:7" ht="11.25" customHeight="1" x14ac:dyDescent="0.25">
      <c r="A59" s="152"/>
      <c r="B59" s="152"/>
      <c r="C59" s="153" t="s">
        <v>98</v>
      </c>
      <c r="D59" s="265" t="str">
        <f>+VLOOKUP($D$4,[1]DATOS!$C$1:$E$9,2,0)</f>
        <v>J-500253052</v>
      </c>
      <c r="E59" s="265"/>
      <c r="F59" s="265"/>
      <c r="G59" s="265"/>
    </row>
    <row r="60" spans="1:7" ht="24" customHeight="1" x14ac:dyDescent="0.25">
      <c r="A60" s="152"/>
      <c r="B60" s="152"/>
      <c r="C60" s="153" t="s">
        <v>99</v>
      </c>
      <c r="D60" s="266" t="str">
        <f>+VLOOKUP($D$4,[1]DATOS!$C$1:$E$9,3,0)</f>
        <v>CARRERA 3 ESQUINA CALLE 10, BARRIO CURAZAO- MUNICIPIO GUANARE -PORTUGUESA</v>
      </c>
      <c r="E60" s="266"/>
      <c r="F60" s="266"/>
      <c r="G60" s="266"/>
    </row>
    <row r="61" spans="1:7" ht="11.25" customHeight="1" x14ac:dyDescent="0.25">
      <c r="A61" s="152"/>
      <c r="B61" s="152"/>
      <c r="C61" s="153" t="s">
        <v>100</v>
      </c>
      <c r="D61" s="265" t="str">
        <f>+[1]LISTADOS!$A$4</f>
        <v>SEMANA DEL 08/12/2025 AL 14/12/2025</v>
      </c>
      <c r="E61" s="265"/>
      <c r="F61" s="265"/>
      <c r="G61" s="265"/>
    </row>
    <row r="62" spans="1:7" ht="15.75" thickBot="1" x14ac:dyDescent="0.3">
      <c r="C62" s="153" t="s">
        <v>166</v>
      </c>
      <c r="D62" s="154">
        <f>VLOOKUP(A64,LISTADOS!$B$7:Q$19,13,0)</f>
        <v>5600</v>
      </c>
      <c r="E62" s="153"/>
      <c r="F62" s="154"/>
      <c r="G62" s="154"/>
    </row>
    <row r="63" spans="1:7" x14ac:dyDescent="0.25">
      <c r="A63" s="272" t="s">
        <v>114</v>
      </c>
      <c r="B63" s="273"/>
      <c r="C63" s="273" t="s">
        <v>115</v>
      </c>
      <c r="D63" s="273"/>
      <c r="E63" s="273" t="s">
        <v>11</v>
      </c>
      <c r="F63" s="273"/>
      <c r="G63" s="155" t="s">
        <v>116</v>
      </c>
    </row>
    <row r="64" spans="1:7" s="152" customFormat="1" ht="30.75" customHeight="1" thickBot="1" x14ac:dyDescent="0.25">
      <c r="A64" s="274" t="s">
        <v>61</v>
      </c>
      <c r="B64" s="275"/>
      <c r="C64" s="276">
        <f>+VLOOKUP(A64,'[1]CALCULO BS'!$B$6:$AW$1286,2,0)</f>
        <v>31272373</v>
      </c>
      <c r="D64" s="276"/>
      <c r="E64" s="277">
        <f>+VLOOKUP(A64,'[1]CALCULO BS'!$B$6:$AW$1286,3,0)</f>
        <v>44998</v>
      </c>
      <c r="F64" s="277"/>
      <c r="G64" s="156" t="str">
        <f>+VLOOKUP(A64,'[1]CALCULO BS'!$B$6:$AW$1286,4,0)</f>
        <v>AUX. DE ALMACEN</v>
      </c>
    </row>
    <row r="65" spans="1:7" ht="15.75" thickBot="1" x14ac:dyDescent="0.3">
      <c r="C65" s="157"/>
    </row>
    <row r="66" spans="1:7" ht="15.75" thickBot="1" x14ac:dyDescent="0.3">
      <c r="A66" s="268" t="s">
        <v>117</v>
      </c>
      <c r="B66" s="269"/>
      <c r="C66" s="158"/>
      <c r="D66" s="159" t="s">
        <v>8</v>
      </c>
      <c r="E66" s="270" t="s">
        <v>118</v>
      </c>
      <c r="F66" s="270"/>
      <c r="G66" s="160" t="s">
        <v>119</v>
      </c>
    </row>
    <row r="67" spans="1:7" ht="12" customHeight="1" x14ac:dyDescent="0.25">
      <c r="A67" s="161" t="s">
        <v>120</v>
      </c>
      <c r="B67" s="162"/>
      <c r="C67" s="163"/>
      <c r="D67" s="164">
        <f>+VLOOKUP(A64,'CALCULO BS'!$B$6:$AW$1286,16,0)</f>
        <v>11</v>
      </c>
      <c r="E67" s="271">
        <f>+VLOOKUP(A64,'CALCULO BS'!$B$6:$AW$1286,17,0)</f>
        <v>2053.333333333333</v>
      </c>
      <c r="F67" s="271"/>
      <c r="G67" s="164"/>
    </row>
    <row r="68" spans="1:7" ht="9.75" customHeight="1" x14ac:dyDescent="0.25">
      <c r="A68" s="161" t="s">
        <v>121</v>
      </c>
      <c r="B68" s="162"/>
      <c r="C68" s="163"/>
      <c r="D68" s="164">
        <f>+VLOOKUP(A64,'CALCULO BS'!$B$6:$AW$1286,18,0)</f>
        <v>4</v>
      </c>
      <c r="E68" s="267">
        <f>+VLOOKUP(A64,'CALCULO BS'!$B$6:$AW$1286,19,0)</f>
        <v>856.12121212121201</v>
      </c>
      <c r="F68" s="267"/>
      <c r="G68" s="165"/>
    </row>
    <row r="69" spans="1:7" ht="9.75" customHeight="1" x14ac:dyDescent="0.25">
      <c r="A69" s="161" t="s">
        <v>122</v>
      </c>
      <c r="B69" s="162"/>
      <c r="C69" s="163"/>
      <c r="D69" s="164">
        <f>+VLOOKUP(A64,'CALCULO BS'!$B$6:$AW$1286,20,0)</f>
        <v>1</v>
      </c>
      <c r="E69" s="267">
        <f>+VLOOKUP(A64,'CALCULO BS'!$B$6:$AW$1286,21,0)</f>
        <v>280</v>
      </c>
      <c r="F69" s="267"/>
      <c r="G69" s="165"/>
    </row>
    <row r="70" spans="1:7" ht="9.75" customHeight="1" x14ac:dyDescent="0.25">
      <c r="A70" s="161" t="s">
        <v>123</v>
      </c>
      <c r="B70" s="162"/>
      <c r="C70" s="163"/>
      <c r="D70" s="164">
        <f>+VLOOKUP(A64,'[1]CALCULO BS'!$B$6:$AW$1286,22,0)</f>
        <v>0</v>
      </c>
      <c r="E70" s="267">
        <f>+VLOOKUP(A64,'[1]CALCULO BS'!$B$6:$AW$1286,23,0)</f>
        <v>0</v>
      </c>
      <c r="F70" s="267"/>
      <c r="G70" s="165"/>
    </row>
    <row r="71" spans="1:7" ht="9.75" customHeight="1" x14ac:dyDescent="0.25">
      <c r="A71" s="161" t="s">
        <v>125</v>
      </c>
      <c r="B71" s="152"/>
      <c r="C71" s="152"/>
      <c r="D71" s="164">
        <f>+VLOOKUP(A64,'CALCULO BS'!$B$6:$AW$1286,25,0)</f>
        <v>0</v>
      </c>
      <c r="E71" s="267">
        <f>+VLOOKUP(A64,'[1]CALCULO BS'!$B$6:$AW$1286,26,0)</f>
        <v>0</v>
      </c>
      <c r="F71" s="267"/>
      <c r="G71" s="166"/>
    </row>
    <row r="72" spans="1:7" ht="10.5" customHeight="1" x14ac:dyDescent="0.25">
      <c r="A72" s="161" t="s">
        <v>162</v>
      </c>
      <c r="B72" s="152"/>
      <c r="C72" s="152"/>
      <c r="D72" s="164">
        <f>VLOOKUP(A64,'CALCULO BS'!$B$7:AJ$14,29,0)</f>
        <v>3</v>
      </c>
      <c r="E72" s="267">
        <f>VLOOKUP(A64,'CALCULO BS'!$B$7:AO$14,30,0)</f>
        <v>21</v>
      </c>
      <c r="F72" s="267"/>
      <c r="G72" s="166"/>
    </row>
    <row r="73" spans="1:7" ht="9.75" customHeight="1" x14ac:dyDescent="0.25">
      <c r="A73" s="161" t="s">
        <v>126</v>
      </c>
      <c r="B73" s="152"/>
      <c r="C73" s="152"/>
      <c r="D73" s="164">
        <f>+VLOOKUP(A64,'[1]CALCULO BS'!$B$6:$AW$1286,27,0)</f>
        <v>0</v>
      </c>
      <c r="E73" s="267">
        <f>+VLOOKUP(A64,'[1]CALCULO BS'!$B$6:$AW$1286,28,0)</f>
        <v>0</v>
      </c>
      <c r="F73" s="267"/>
      <c r="G73" s="166"/>
    </row>
    <row r="74" spans="1:7" ht="9.75" customHeight="1" x14ac:dyDescent="0.25">
      <c r="A74" s="167" t="s">
        <v>127</v>
      </c>
      <c r="B74" s="168"/>
      <c r="C74" s="168"/>
      <c r="D74" s="164">
        <v>0</v>
      </c>
      <c r="E74" s="267"/>
      <c r="F74" s="267"/>
      <c r="G74" s="165">
        <f>VLOOKUP(C$64,'[1]CALCULO BS'!C$7:AW$95,34,0)</f>
        <v>6</v>
      </c>
    </row>
    <row r="75" spans="1:7" ht="9.75" customHeight="1" x14ac:dyDescent="0.25">
      <c r="A75" s="167" t="s">
        <v>128</v>
      </c>
      <c r="B75" s="168"/>
      <c r="C75" s="168"/>
      <c r="D75" s="164">
        <v>0</v>
      </c>
      <c r="E75" s="267"/>
      <c r="F75" s="267"/>
      <c r="G75" s="165">
        <f>VLOOKUP(C$64,'[1]CALCULO BS'!C$7:AW$95,35,0)</f>
        <v>0.75</v>
      </c>
    </row>
    <row r="76" spans="1:7" ht="9.75" customHeight="1" x14ac:dyDescent="0.25">
      <c r="A76" s="167" t="s">
        <v>129</v>
      </c>
      <c r="B76" s="168"/>
      <c r="C76" s="168"/>
      <c r="D76" s="164">
        <v>0</v>
      </c>
      <c r="E76" s="267"/>
      <c r="F76" s="267"/>
      <c r="G76" s="165">
        <f>VLOOKUP(C$64,'CALCULO BS'!C$7:AW$95,37,0)</f>
        <v>32.104545454545452</v>
      </c>
    </row>
    <row r="77" spans="1:7" ht="9.75" hidden="1" customHeight="1" x14ac:dyDescent="0.25">
      <c r="A77" s="161" t="s">
        <v>130</v>
      </c>
      <c r="B77" s="169"/>
      <c r="C77" s="169"/>
      <c r="D77" s="164">
        <v>0</v>
      </c>
      <c r="E77" s="267"/>
      <c r="F77" s="267"/>
      <c r="G77" s="165">
        <v>0</v>
      </c>
    </row>
    <row r="78" spans="1:7" ht="9.75" hidden="1" customHeight="1" x14ac:dyDescent="0.25">
      <c r="A78" s="167" t="s">
        <v>131</v>
      </c>
      <c r="B78" s="168"/>
      <c r="C78" s="168"/>
      <c r="D78" s="164">
        <f>+VLOOKUP(A64,'[1]CALCULO BS'!$B$6:$AW$1286,37,0)</f>
        <v>0</v>
      </c>
      <c r="E78" s="267"/>
      <c r="F78" s="267"/>
      <c r="G78" s="165">
        <v>0</v>
      </c>
    </row>
    <row r="79" spans="1:7" ht="9.75" hidden="1" customHeight="1" thickBot="1" x14ac:dyDescent="0.3">
      <c r="A79" s="170" t="s">
        <v>132</v>
      </c>
      <c r="B79" s="171"/>
      <c r="C79" s="171"/>
      <c r="D79" s="172">
        <v>0</v>
      </c>
      <c r="E79" s="278"/>
      <c r="F79" s="278"/>
      <c r="G79" s="173">
        <v>0</v>
      </c>
    </row>
    <row r="80" spans="1:7" x14ac:dyDescent="0.25">
      <c r="B80" s="279"/>
      <c r="C80" s="279"/>
      <c r="D80" s="279"/>
      <c r="E80" s="280">
        <f>SUM(E67:F79)</f>
        <v>3210.454545454545</v>
      </c>
      <c r="F80" s="280"/>
      <c r="G80" s="174">
        <f>SUM(G67:G79)</f>
        <v>38.854545454545452</v>
      </c>
    </row>
    <row r="81" spans="1:7" x14ac:dyDescent="0.25">
      <c r="C81" s="175"/>
      <c r="E81" s="281" t="s">
        <v>133</v>
      </c>
      <c r="F81" s="282"/>
      <c r="G81" s="176">
        <f>+E80-G80</f>
        <v>3171.5999999999995</v>
      </c>
    </row>
    <row r="82" spans="1:7" ht="15.75" thickBot="1" x14ac:dyDescent="0.3">
      <c r="F82" s="177"/>
      <c r="G82" s="177"/>
    </row>
    <row r="83" spans="1:7" x14ac:dyDescent="0.25">
      <c r="F83" s="283" t="s">
        <v>134</v>
      </c>
      <c r="G83" s="283"/>
    </row>
    <row r="84" spans="1:7" ht="5.25" customHeight="1" x14ac:dyDescent="0.25">
      <c r="A84" s="178"/>
      <c r="B84" s="178"/>
      <c r="C84" s="178"/>
      <c r="D84" s="178"/>
      <c r="E84" s="178"/>
      <c r="F84" s="178"/>
      <c r="G84" s="178"/>
    </row>
    <row r="85" spans="1:7" ht="11.25" customHeight="1" thickBot="1" x14ac:dyDescent="0.3">
      <c r="A85" s="264" t="s">
        <v>113</v>
      </c>
      <c r="B85" s="264"/>
      <c r="C85" s="264"/>
      <c r="D85" s="264"/>
      <c r="E85" s="264"/>
      <c r="F85" s="264"/>
      <c r="G85" s="264"/>
    </row>
    <row r="86" spans="1:7" ht="11.25" customHeight="1" thickTop="1" x14ac:dyDescent="0.25">
      <c r="A86" s="152"/>
      <c r="B86" s="152"/>
      <c r="C86" s="153" t="s">
        <v>163</v>
      </c>
      <c r="D86" s="265" t="s">
        <v>49</v>
      </c>
      <c r="E86" s="265"/>
      <c r="F86" s="265"/>
      <c r="G86" s="265"/>
    </row>
    <row r="87" spans="1:7" ht="11.25" customHeight="1" x14ac:dyDescent="0.25">
      <c r="A87" s="152"/>
      <c r="B87" s="152"/>
      <c r="C87" s="153" t="s">
        <v>98</v>
      </c>
      <c r="D87" s="265" t="str">
        <f>+VLOOKUP($D$4,[1]DATOS!$C$1:$E$9,2,0)</f>
        <v>J-500253052</v>
      </c>
      <c r="E87" s="265"/>
      <c r="F87" s="265"/>
      <c r="G87" s="265"/>
    </row>
    <row r="88" spans="1:7" ht="24" customHeight="1" x14ac:dyDescent="0.25">
      <c r="A88" s="152"/>
      <c r="B88" s="152"/>
      <c r="C88" s="153" t="s">
        <v>99</v>
      </c>
      <c r="D88" s="266" t="str">
        <f>+VLOOKUP($D$4,[1]DATOS!$C$1:$E$9,3,0)</f>
        <v>CARRERA 3 ESQUINA CALLE 10, BARRIO CURAZAO- MUNICIPIO GUANARE -PORTUGUESA</v>
      </c>
      <c r="E88" s="266"/>
      <c r="F88" s="266"/>
      <c r="G88" s="266"/>
    </row>
    <row r="89" spans="1:7" ht="11.25" customHeight="1" x14ac:dyDescent="0.25">
      <c r="A89" s="152"/>
      <c r="B89" s="152"/>
      <c r="C89" s="153" t="s">
        <v>100</v>
      </c>
      <c r="D89" s="265" t="str">
        <f>+[1]LISTADOS!$A$4</f>
        <v>SEMANA DEL 08/12/2025 AL 14/12/2025</v>
      </c>
      <c r="E89" s="265"/>
      <c r="F89" s="265"/>
      <c r="G89" s="265"/>
    </row>
    <row r="90" spans="1:7" ht="15.75" thickBot="1" x14ac:dyDescent="0.3">
      <c r="C90" s="153" t="s">
        <v>166</v>
      </c>
      <c r="D90" s="154">
        <f>VLOOKUP(A92,LISTADOS!$B$7:Q$19,13,0)</f>
        <v>8000</v>
      </c>
      <c r="E90" s="153"/>
      <c r="F90" s="154"/>
      <c r="G90" s="154"/>
    </row>
    <row r="91" spans="1:7" x14ac:dyDescent="0.25">
      <c r="A91" s="272" t="s">
        <v>114</v>
      </c>
      <c r="B91" s="273"/>
      <c r="C91" s="273" t="s">
        <v>115</v>
      </c>
      <c r="D91" s="273"/>
      <c r="E91" s="273" t="s">
        <v>11</v>
      </c>
      <c r="F91" s="273"/>
      <c r="G91" s="155" t="s">
        <v>116</v>
      </c>
    </row>
    <row r="92" spans="1:7" s="152" customFormat="1" ht="26.25" customHeight="1" thickBot="1" x14ac:dyDescent="0.25">
      <c r="A92" s="274" t="s">
        <v>65</v>
      </c>
      <c r="B92" s="275"/>
      <c r="C92" s="276">
        <f>+VLOOKUP(A92,'[1]CALCULO BS'!$B$6:$AW$1286,2,0)</f>
        <v>12647713</v>
      </c>
      <c r="D92" s="276"/>
      <c r="E92" s="277">
        <f>+VLOOKUP(A92,'[1]CALCULO BS'!$B$6:$AW$1286,3,0)</f>
        <v>45079</v>
      </c>
      <c r="F92" s="277"/>
      <c r="G92" s="156" t="str">
        <f>+VLOOKUP(A92,'[1]CALCULO BS'!$B$6:$AW$1286,4,0)</f>
        <v>SUPERVISOR DE VENTAS</v>
      </c>
    </row>
    <row r="93" spans="1:7" ht="15.75" thickBot="1" x14ac:dyDescent="0.3">
      <c r="C93" s="157"/>
    </row>
    <row r="94" spans="1:7" ht="15.75" thickBot="1" x14ac:dyDescent="0.3">
      <c r="A94" s="268" t="s">
        <v>117</v>
      </c>
      <c r="B94" s="269"/>
      <c r="C94" s="158"/>
      <c r="D94" s="159" t="s">
        <v>8</v>
      </c>
      <c r="E94" s="270" t="s">
        <v>118</v>
      </c>
      <c r="F94" s="270"/>
      <c r="G94" s="160" t="s">
        <v>119</v>
      </c>
    </row>
    <row r="95" spans="1:7" ht="9.75" customHeight="1" x14ac:dyDescent="0.25">
      <c r="A95" s="161" t="s">
        <v>120</v>
      </c>
      <c r="B95" s="162"/>
      <c r="C95" s="163"/>
      <c r="D95" s="164">
        <f>+VLOOKUP(A92,'CALCULO BS'!$B$6:$AW$1286,16,0)</f>
        <v>11</v>
      </c>
      <c r="E95" s="271">
        <f>+VLOOKUP(A92,'CALCULO BS'!$B$6:$AW$1286,17,0)</f>
        <v>2933.3333333333335</v>
      </c>
      <c r="F95" s="271"/>
      <c r="G95" s="164"/>
    </row>
    <row r="96" spans="1:7" ht="9.75" customHeight="1" x14ac:dyDescent="0.25">
      <c r="A96" s="161" t="s">
        <v>121</v>
      </c>
      <c r="B96" s="162"/>
      <c r="C96" s="163"/>
      <c r="D96" s="164">
        <f>+VLOOKUP(A92,'CALCULO BS'!$B$6:$AW$1286,18,0)</f>
        <v>4</v>
      </c>
      <c r="E96" s="267">
        <f>+VLOOKUP(A92,'CALCULO BS'!$B$6:$AW$1286,19,0)</f>
        <v>1066.6666666666667</v>
      </c>
      <c r="F96" s="267"/>
      <c r="G96" s="165"/>
    </row>
    <row r="97" spans="1:7" ht="9.75" hidden="1" customHeight="1" x14ac:dyDescent="0.25">
      <c r="A97" s="161" t="s">
        <v>122</v>
      </c>
      <c r="B97" s="162"/>
      <c r="C97" s="163"/>
      <c r="D97" s="164">
        <f>+VLOOKUP(A92,'[1]CALCULO BS'!$B$6:$AW$1286,20,0)</f>
        <v>0</v>
      </c>
      <c r="E97" s="267">
        <f>+VLOOKUP(A92,'[1]CALCULO BS'!$B$6:$AW$1286,21,0)</f>
        <v>0</v>
      </c>
      <c r="F97" s="267"/>
      <c r="G97" s="165"/>
    </row>
    <row r="98" spans="1:7" ht="9.75" hidden="1" customHeight="1" x14ac:dyDescent="0.25">
      <c r="A98" s="161" t="s">
        <v>123</v>
      </c>
      <c r="B98" s="162"/>
      <c r="C98" s="163"/>
      <c r="D98" s="164">
        <f>+VLOOKUP(A92,'[1]CALCULO BS'!$B$6:$AW$1286,22,0)</f>
        <v>0</v>
      </c>
      <c r="E98" s="267">
        <f>+VLOOKUP(A92,'[1]CALCULO BS'!$B$6:$AW$1286,23,0)</f>
        <v>0</v>
      </c>
      <c r="F98" s="267"/>
      <c r="G98" s="165"/>
    </row>
    <row r="99" spans="1:7" ht="9.75" hidden="1" customHeight="1" x14ac:dyDescent="0.25">
      <c r="A99" s="161" t="s">
        <v>124</v>
      </c>
      <c r="B99" s="152"/>
      <c r="C99" s="152"/>
      <c r="D99" s="164">
        <v>0</v>
      </c>
      <c r="E99" s="267">
        <v>0</v>
      </c>
      <c r="F99" s="267"/>
      <c r="G99" s="164"/>
    </row>
    <row r="100" spans="1:7" ht="9.75" hidden="1" customHeight="1" x14ac:dyDescent="0.25">
      <c r="A100" s="161" t="s">
        <v>125</v>
      </c>
      <c r="B100" s="152"/>
      <c r="C100" s="152"/>
      <c r="D100" s="164">
        <f>+VLOOKUP(A92,'[1]CALCULO BS'!$B$6:$AW$1286,25,0)</f>
        <v>0</v>
      </c>
      <c r="E100" s="267">
        <f>+VLOOKUP(A92,'[1]CALCULO BS'!$B$6:$AW$1286,26,0)</f>
        <v>0</v>
      </c>
      <c r="F100" s="267"/>
      <c r="G100" s="166"/>
    </row>
    <row r="101" spans="1:7" ht="9.75" hidden="1" customHeight="1" x14ac:dyDescent="0.25">
      <c r="A101" s="161" t="s">
        <v>135</v>
      </c>
      <c r="B101" s="152"/>
      <c r="C101" s="152"/>
      <c r="D101" s="164">
        <f>+VLOOKUP(A92,'[1]CALCULO BS'!$B$6:$AW$1286,27,0)</f>
        <v>0</v>
      </c>
      <c r="E101" s="267">
        <f>+VLOOKUP(A92,'[1]CALCULO BS'!$B$6:$AW$1286,28,0)</f>
        <v>0</v>
      </c>
      <c r="F101" s="267"/>
      <c r="G101" s="166"/>
    </row>
    <row r="102" spans="1:7" ht="9.75" customHeight="1" x14ac:dyDescent="0.25">
      <c r="A102" s="167" t="s">
        <v>127</v>
      </c>
      <c r="B102" s="168"/>
      <c r="C102" s="168"/>
      <c r="D102" s="164" t="str">
        <f>+IF(VLOOKUP(A92,'[1]CALCULO BS'!$B$6:$AW$1286,32,0)&gt;1,"1","0")</f>
        <v>0</v>
      </c>
      <c r="E102" s="267"/>
      <c r="F102" s="267"/>
      <c r="G102" s="165">
        <f>VLOOKUP(C$92,'[1]CALCULO BS'!C$7:AW$95,34,0)</f>
        <v>6</v>
      </c>
    </row>
    <row r="103" spans="1:7" ht="9.75" customHeight="1" x14ac:dyDescent="0.25">
      <c r="A103" s="167" t="s">
        <v>128</v>
      </c>
      <c r="B103" s="168"/>
      <c r="C103" s="168"/>
      <c r="D103" s="164" t="str">
        <f>+IF(VLOOKUP(A92,'[1]CALCULO BS'!$B$6:$AW$1286,32,0)&gt;1,"1","0")</f>
        <v>0</v>
      </c>
      <c r="E103" s="267"/>
      <c r="F103" s="267"/>
      <c r="G103" s="165">
        <f>VLOOKUP(C$92,'[1]CALCULO BS'!C$7:AW$95,35,0)</f>
        <v>0.75</v>
      </c>
    </row>
    <row r="104" spans="1:7" ht="9.75" customHeight="1" x14ac:dyDescent="0.25">
      <c r="A104" s="167" t="s">
        <v>129</v>
      </c>
      <c r="B104" s="168"/>
      <c r="C104" s="168"/>
      <c r="D104" s="164">
        <v>0</v>
      </c>
      <c r="E104" s="267"/>
      <c r="F104" s="267"/>
      <c r="G104" s="165">
        <f>VLOOKUP(C$92,'[1]CALCULO BS'!C$7:AW$95,37,0)</f>
        <v>20</v>
      </c>
    </row>
    <row r="105" spans="1:7" ht="9.75" customHeight="1" x14ac:dyDescent="0.25">
      <c r="A105" s="161" t="s">
        <v>130</v>
      </c>
      <c r="B105" s="169"/>
      <c r="C105" s="169"/>
      <c r="D105" s="164">
        <v>0</v>
      </c>
      <c r="E105" s="267"/>
      <c r="F105" s="267"/>
      <c r="G105" s="165">
        <v>0</v>
      </c>
    </row>
    <row r="106" spans="1:7" ht="9.75" hidden="1" customHeight="1" x14ac:dyDescent="0.25">
      <c r="A106" s="167" t="s">
        <v>131</v>
      </c>
      <c r="B106" s="168"/>
      <c r="C106" s="168"/>
      <c r="D106" s="164">
        <f>+VLOOKUP(A92,'[1]CALCULO BS'!$B$6:$AW$1286,37,0)</f>
        <v>0</v>
      </c>
      <c r="E106" s="267"/>
      <c r="F106" s="267"/>
      <c r="G106" s="165">
        <v>0</v>
      </c>
    </row>
    <row r="107" spans="1:7" ht="9.75" hidden="1" customHeight="1" thickBot="1" x14ac:dyDescent="0.3">
      <c r="A107" s="170" t="s">
        <v>132</v>
      </c>
      <c r="B107" s="171"/>
      <c r="C107" s="171"/>
      <c r="D107" s="172">
        <v>0</v>
      </c>
      <c r="E107" s="278"/>
      <c r="F107" s="278"/>
      <c r="G107" s="173">
        <v>0</v>
      </c>
    </row>
    <row r="108" spans="1:7" x14ac:dyDescent="0.25">
      <c r="B108" s="279"/>
      <c r="C108" s="279"/>
      <c r="D108" s="279"/>
      <c r="E108" s="280">
        <f>SUM(E95:F107)</f>
        <v>4000</v>
      </c>
      <c r="F108" s="280"/>
      <c r="G108" s="174">
        <f>SUM(G95:G107)</f>
        <v>26.75</v>
      </c>
    </row>
    <row r="109" spans="1:7" x14ac:dyDescent="0.25">
      <c r="C109" s="175"/>
      <c r="E109" s="281" t="s">
        <v>133</v>
      </c>
      <c r="F109" s="282"/>
      <c r="G109" s="176">
        <f>+E108-G108</f>
        <v>3973.25</v>
      </c>
    </row>
    <row r="110" spans="1:7" ht="15.75" thickBot="1" x14ac:dyDescent="0.3">
      <c r="F110" s="177"/>
      <c r="G110" s="177"/>
    </row>
    <row r="111" spans="1:7" x14ac:dyDescent="0.25">
      <c r="F111" s="283" t="s">
        <v>134</v>
      </c>
      <c r="G111" s="283"/>
    </row>
    <row r="112" spans="1:7" ht="9" customHeight="1" x14ac:dyDescent="0.25"/>
    <row r="113" spans="1:7" ht="11.25" customHeight="1" thickBot="1" x14ac:dyDescent="0.3">
      <c r="A113" s="264" t="s">
        <v>113</v>
      </c>
      <c r="B113" s="264"/>
      <c r="C113" s="264"/>
      <c r="D113" s="264"/>
      <c r="E113" s="264"/>
      <c r="F113" s="264"/>
      <c r="G113" s="264"/>
    </row>
    <row r="114" spans="1:7" ht="11.25" customHeight="1" thickTop="1" x14ac:dyDescent="0.25">
      <c r="A114" s="152"/>
      <c r="B114" s="152"/>
      <c r="C114" s="153" t="s">
        <v>163</v>
      </c>
      <c r="D114" s="265" t="s">
        <v>49</v>
      </c>
      <c r="E114" s="265"/>
      <c r="F114" s="265"/>
      <c r="G114" s="265"/>
    </row>
    <row r="115" spans="1:7" ht="11.25" customHeight="1" x14ac:dyDescent="0.25">
      <c r="A115" s="152"/>
      <c r="B115" s="152"/>
      <c r="C115" s="153" t="s">
        <v>98</v>
      </c>
      <c r="D115" s="265" t="str">
        <f>+VLOOKUP($D$4,[1]DATOS!$C$1:$E$9,2,0)</f>
        <v>J-500253052</v>
      </c>
      <c r="E115" s="265"/>
      <c r="F115" s="265"/>
      <c r="G115" s="265"/>
    </row>
    <row r="116" spans="1:7" ht="24" customHeight="1" x14ac:dyDescent="0.25">
      <c r="A116" s="152"/>
      <c r="B116" s="152"/>
      <c r="C116" s="153" t="s">
        <v>99</v>
      </c>
      <c r="D116" s="266" t="str">
        <f>+VLOOKUP($D$4,[1]DATOS!$C$1:$E$9,3,0)</f>
        <v>CARRERA 3 ESQUINA CALLE 10, BARRIO CURAZAO- MUNICIPIO GUANARE -PORTUGUESA</v>
      </c>
      <c r="E116" s="266"/>
      <c r="F116" s="266"/>
      <c r="G116" s="266"/>
    </row>
    <row r="117" spans="1:7" ht="11.25" customHeight="1" x14ac:dyDescent="0.25">
      <c r="A117" s="152"/>
      <c r="B117" s="152"/>
      <c r="C117" s="153" t="s">
        <v>100</v>
      </c>
      <c r="D117" s="265" t="str">
        <f>+[1]LISTADOS!$A$4</f>
        <v>SEMANA DEL 08/12/2025 AL 14/12/2025</v>
      </c>
      <c r="E117" s="265"/>
      <c r="F117" s="265"/>
      <c r="G117" s="265"/>
    </row>
    <row r="118" spans="1:7" ht="15.75" thickBot="1" x14ac:dyDescent="0.3">
      <c r="C118" s="153" t="s">
        <v>166</v>
      </c>
      <c r="D118" s="154">
        <f>VLOOKUP(A120,LISTADOS!$B$7:Q$19,13,0)</f>
        <v>8000</v>
      </c>
      <c r="E118" s="153"/>
      <c r="F118" s="154"/>
      <c r="G118" s="154"/>
    </row>
    <row r="119" spans="1:7" x14ac:dyDescent="0.25">
      <c r="A119" s="272" t="s">
        <v>114</v>
      </c>
      <c r="B119" s="273"/>
      <c r="C119" s="273" t="s">
        <v>115</v>
      </c>
      <c r="D119" s="273"/>
      <c r="E119" s="273" t="s">
        <v>11</v>
      </c>
      <c r="F119" s="273"/>
      <c r="G119" s="155" t="s">
        <v>116</v>
      </c>
    </row>
    <row r="120" spans="1:7" s="152" customFormat="1" ht="26.25" customHeight="1" thickBot="1" x14ac:dyDescent="0.25">
      <c r="A120" s="274" t="s">
        <v>76</v>
      </c>
      <c r="B120" s="275"/>
      <c r="C120" s="276">
        <f>+VLOOKUP(A120,'[1]CALCULO BS'!$B$6:$AW$1286,2,0)</f>
        <v>28427378</v>
      </c>
      <c r="D120" s="276"/>
      <c r="E120" s="277">
        <f>+VLOOKUP(A120,'[1]CALCULO BS'!$B$6:$AW$1286,3,0)</f>
        <v>45708</v>
      </c>
      <c r="F120" s="277"/>
      <c r="G120" s="156" t="str">
        <f>+VLOOKUP(A120,'[1]CALCULO BS'!$B$6:$AW$1286,4,0)</f>
        <v xml:space="preserve">SUPERVISOR DE ALMACEN </v>
      </c>
    </row>
    <row r="121" spans="1:7" ht="15.75" thickBot="1" x14ac:dyDescent="0.3">
      <c r="C121" s="157"/>
    </row>
    <row r="122" spans="1:7" ht="15.75" thickBot="1" x14ac:dyDescent="0.3">
      <c r="A122" s="268" t="s">
        <v>117</v>
      </c>
      <c r="B122" s="269"/>
      <c r="C122" s="158"/>
      <c r="D122" s="159" t="s">
        <v>8</v>
      </c>
      <c r="E122" s="270" t="s">
        <v>118</v>
      </c>
      <c r="F122" s="270"/>
      <c r="G122" s="160" t="s">
        <v>119</v>
      </c>
    </row>
    <row r="123" spans="1:7" ht="9.75" customHeight="1" x14ac:dyDescent="0.25">
      <c r="A123" s="161" t="s">
        <v>120</v>
      </c>
      <c r="B123" s="162"/>
      <c r="C123" s="163"/>
      <c r="D123" s="164">
        <f>+VLOOKUP(A120,'CALCULO BS'!$B$6:$AW$1286,16,0)</f>
        <v>9</v>
      </c>
      <c r="E123" s="271">
        <f>+VLOOKUP(A120,'CALCULO BS'!$B$6:$AW$1286,17,0)</f>
        <v>2400</v>
      </c>
      <c r="F123" s="271"/>
      <c r="G123" s="164"/>
    </row>
    <row r="124" spans="1:7" ht="9.75" customHeight="1" x14ac:dyDescent="0.25">
      <c r="A124" s="161" t="s">
        <v>121</v>
      </c>
      <c r="B124" s="162"/>
      <c r="C124" s="163"/>
      <c r="D124" s="164">
        <f>+VLOOKUP(A120,'CALCULO BS'!$B$6:$AW$1286,18,0)</f>
        <v>4</v>
      </c>
      <c r="E124" s="267">
        <f>+VLOOKUP(A120,'CALCULO BS'!$B$6:$AW$1286,19,0)</f>
        <v>973.73090909090922</v>
      </c>
      <c r="F124" s="267"/>
      <c r="G124" s="165"/>
    </row>
    <row r="125" spans="1:7" ht="9.75" customHeight="1" x14ac:dyDescent="0.25">
      <c r="A125" s="161" t="s">
        <v>122</v>
      </c>
      <c r="B125" s="162"/>
      <c r="C125" s="163"/>
      <c r="D125" s="164">
        <f>+VLOOKUP(A120,'[1]CALCULO BS'!$B$6:$AW$1286,20,0)</f>
        <v>0</v>
      </c>
      <c r="E125" s="267">
        <f>+VLOOKUP(A120,'[1]CALCULO BS'!$B$6:$AW$1286,21,0)</f>
        <v>0</v>
      </c>
      <c r="F125" s="267"/>
      <c r="G125" s="165"/>
    </row>
    <row r="126" spans="1:7" ht="9.75" customHeight="1" x14ac:dyDescent="0.25">
      <c r="A126" s="161" t="s">
        <v>123</v>
      </c>
      <c r="B126" s="162"/>
      <c r="C126" s="163"/>
      <c r="D126" s="164">
        <f>+VLOOKUP(A120,'[1]CALCULO BS'!$B$6:$AW$1286,22,0)</f>
        <v>0</v>
      </c>
      <c r="E126" s="267">
        <f>+VLOOKUP(A120,'[1]CALCULO BS'!$B$6:$AW$1286,23,0)</f>
        <v>0</v>
      </c>
      <c r="F126" s="267"/>
      <c r="G126" s="165"/>
    </row>
    <row r="127" spans="1:7" ht="9.75" customHeight="1" x14ac:dyDescent="0.25">
      <c r="A127" s="161" t="s">
        <v>125</v>
      </c>
      <c r="B127" s="152"/>
      <c r="C127" s="152"/>
      <c r="D127" s="164">
        <f>+VLOOKUP(A120,'[1]CALCULO BS'!$B$6:$AW$1286,25,0)</f>
        <v>0</v>
      </c>
      <c r="E127" s="267">
        <f>+VLOOKUP(A120,'[1]CALCULO BS'!$B$6:$AW$1286,26,0)</f>
        <v>0</v>
      </c>
      <c r="F127" s="267"/>
      <c r="G127" s="166"/>
    </row>
    <row r="128" spans="1:7" ht="9.75" customHeight="1" x14ac:dyDescent="0.25">
      <c r="A128" s="161" t="s">
        <v>135</v>
      </c>
      <c r="B128" s="152"/>
      <c r="C128" s="152"/>
      <c r="D128" s="164">
        <f>+VLOOKUP(A120,'[1]CALCULO BS'!$B$6:$AW$1286,27,0)</f>
        <v>0</v>
      </c>
      <c r="E128" s="267">
        <f>+VLOOKUP(A120,'[1]CALCULO BS'!$B$6:$AW$1286,28,0)</f>
        <v>0</v>
      </c>
      <c r="F128" s="267"/>
      <c r="G128" s="166"/>
    </row>
    <row r="129" spans="1:7" ht="9.75" customHeight="1" x14ac:dyDescent="0.25">
      <c r="A129" s="167" t="s">
        <v>127</v>
      </c>
      <c r="B129" s="168"/>
      <c r="C129" s="168"/>
      <c r="D129" s="164" t="str">
        <f>+IF(VLOOKUP(A120,'[1]CALCULO BS'!$B$6:$AW$1286,32,0)&gt;1,"1","0")</f>
        <v>0</v>
      </c>
      <c r="E129" s="267"/>
      <c r="F129" s="267"/>
      <c r="G129" s="165">
        <f>VLOOKUP(C$92,'[1]CALCULO BS'!C$7:AW$95,34,0)</f>
        <v>6</v>
      </c>
    </row>
    <row r="130" spans="1:7" ht="9.75" customHeight="1" x14ac:dyDescent="0.25">
      <c r="A130" s="167" t="s">
        <v>128</v>
      </c>
      <c r="B130" s="168"/>
      <c r="C130" s="168"/>
      <c r="D130" s="164" t="str">
        <f>+IF(VLOOKUP(A120,'[1]CALCULO BS'!$B$6:$AW$1286,32,0)&gt;1,"1","0")</f>
        <v>0</v>
      </c>
      <c r="E130" s="267"/>
      <c r="F130" s="267"/>
      <c r="G130" s="165">
        <f>VLOOKUP(C$92,'[1]CALCULO BS'!C$7:AW$95,35,0)</f>
        <v>0.75</v>
      </c>
    </row>
    <row r="131" spans="1:7" ht="9.75" customHeight="1" x14ac:dyDescent="0.25">
      <c r="A131" s="167" t="s">
        <v>129</v>
      </c>
      <c r="B131" s="168"/>
      <c r="C131" s="168"/>
      <c r="D131" s="164">
        <v>0</v>
      </c>
      <c r="E131" s="267"/>
      <c r="F131" s="267"/>
      <c r="G131" s="165">
        <f>VLOOKUP(C$120,'[1]CALCULO BS'!C$7:AW$120,37,0)</f>
        <v>20</v>
      </c>
    </row>
    <row r="132" spans="1:7" ht="9.75" hidden="1" customHeight="1" x14ac:dyDescent="0.25">
      <c r="A132" s="161" t="s">
        <v>130</v>
      </c>
      <c r="B132" s="169"/>
      <c r="C132" s="169"/>
      <c r="D132" s="164">
        <v>0</v>
      </c>
      <c r="E132" s="267"/>
      <c r="F132" s="267"/>
      <c r="G132" s="165">
        <v>0</v>
      </c>
    </row>
    <row r="133" spans="1:7" ht="9.75" hidden="1" customHeight="1" x14ac:dyDescent="0.25">
      <c r="A133" s="167" t="s">
        <v>131</v>
      </c>
      <c r="B133" s="168"/>
      <c r="C133" s="168"/>
      <c r="D133" s="164">
        <f>+VLOOKUP(A120,'[1]CALCULO BS'!$B$6:$AW$1286,37,0)</f>
        <v>0</v>
      </c>
      <c r="E133" s="267"/>
      <c r="F133" s="267"/>
      <c r="G133" s="165">
        <v>0</v>
      </c>
    </row>
    <row r="134" spans="1:7" ht="9.75" hidden="1" customHeight="1" thickBot="1" x14ac:dyDescent="0.3">
      <c r="A134" s="170" t="s">
        <v>132</v>
      </c>
      <c r="B134" s="171"/>
      <c r="C134" s="171"/>
      <c r="D134" s="172">
        <v>0</v>
      </c>
      <c r="E134" s="278"/>
      <c r="F134" s="278"/>
      <c r="G134" s="173">
        <v>0</v>
      </c>
    </row>
    <row r="135" spans="1:7" x14ac:dyDescent="0.25">
      <c r="B135" s="279"/>
      <c r="C135" s="279"/>
      <c r="D135" s="279"/>
      <c r="E135" s="280">
        <f>SUM(E123:F134)</f>
        <v>3373.7309090909093</v>
      </c>
      <c r="F135" s="280"/>
      <c r="G135" s="174">
        <f>SUM(G123:G134)</f>
        <v>26.75</v>
      </c>
    </row>
    <row r="136" spans="1:7" x14ac:dyDescent="0.25">
      <c r="C136" s="175"/>
      <c r="E136" s="281" t="s">
        <v>133</v>
      </c>
      <c r="F136" s="282"/>
      <c r="G136" s="176">
        <f>+E135-G135</f>
        <v>3346.9809090909093</v>
      </c>
    </row>
    <row r="137" spans="1:7" ht="15.75" thickBot="1" x14ac:dyDescent="0.3">
      <c r="F137" s="177"/>
      <c r="G137" s="177"/>
    </row>
    <row r="138" spans="1:7" x14ac:dyDescent="0.25">
      <c r="F138" s="283" t="s">
        <v>134</v>
      </c>
      <c r="G138" s="283"/>
    </row>
    <row r="139" spans="1:7" ht="6" customHeight="1" x14ac:dyDescent="0.25">
      <c r="A139" s="178"/>
      <c r="B139" s="178"/>
      <c r="C139" s="178"/>
      <c r="D139" s="178"/>
      <c r="E139" s="178"/>
      <c r="F139" s="178"/>
      <c r="G139" s="178"/>
    </row>
    <row r="140" spans="1:7" x14ac:dyDescent="0.25">
      <c r="A140" s="178"/>
      <c r="B140" s="178"/>
      <c r="C140" s="178"/>
      <c r="D140" s="178"/>
      <c r="E140" s="178"/>
      <c r="F140" s="178"/>
      <c r="G140" s="178"/>
    </row>
    <row r="142" spans="1:7" ht="11.25" customHeight="1" thickBot="1" x14ac:dyDescent="0.3">
      <c r="A142" s="264" t="s">
        <v>113</v>
      </c>
      <c r="B142" s="264"/>
      <c r="C142" s="264"/>
      <c r="D142" s="264"/>
      <c r="E142" s="264"/>
      <c r="F142" s="264"/>
      <c r="G142" s="264"/>
    </row>
    <row r="143" spans="1:7" ht="11.25" customHeight="1" thickTop="1" x14ac:dyDescent="0.25">
      <c r="A143" s="152"/>
      <c r="B143" s="152"/>
      <c r="C143" s="153" t="s">
        <v>163</v>
      </c>
      <c r="D143" s="265" t="s">
        <v>49</v>
      </c>
      <c r="E143" s="265"/>
      <c r="F143" s="265"/>
      <c r="G143" s="265"/>
    </row>
    <row r="144" spans="1:7" ht="11.25" customHeight="1" x14ac:dyDescent="0.25">
      <c r="A144" s="152"/>
      <c r="B144" s="152"/>
      <c r="C144" s="153" t="s">
        <v>98</v>
      </c>
      <c r="D144" s="265" t="str">
        <f>+VLOOKUP($D$4,[1]DATOS!$C$1:$E$9,2,0)</f>
        <v>J-500253052</v>
      </c>
      <c r="E144" s="265"/>
      <c r="F144" s="265"/>
      <c r="G144" s="265"/>
    </row>
    <row r="145" spans="1:7" ht="24" customHeight="1" x14ac:dyDescent="0.25">
      <c r="A145" s="152"/>
      <c r="B145" s="152"/>
      <c r="C145" s="153" t="s">
        <v>99</v>
      </c>
      <c r="D145" s="266" t="str">
        <f>+VLOOKUP($D$4,[1]DATOS!$C$1:$E$9,3,0)</f>
        <v>CARRERA 3 ESQUINA CALLE 10, BARRIO CURAZAO- MUNICIPIO GUANARE -PORTUGUESA</v>
      </c>
      <c r="E145" s="266"/>
      <c r="F145" s="266"/>
      <c r="G145" s="266"/>
    </row>
    <row r="146" spans="1:7" ht="11.25" customHeight="1" x14ac:dyDescent="0.25">
      <c r="A146" s="152"/>
      <c r="B146" s="152"/>
      <c r="C146" s="153" t="s">
        <v>100</v>
      </c>
      <c r="D146" s="265" t="str">
        <f>+[1]LISTADOS!$A$4</f>
        <v>SEMANA DEL 08/12/2025 AL 14/12/2025</v>
      </c>
      <c r="E146" s="265"/>
      <c r="F146" s="265"/>
      <c r="G146" s="265"/>
    </row>
    <row r="147" spans="1:7" ht="15.75" thickBot="1" x14ac:dyDescent="0.3">
      <c r="C147" s="153" t="s">
        <v>166</v>
      </c>
      <c r="D147" s="154">
        <f>VLOOKUP(A149,LISTADOS!$B$7:Q$19,13,0)</f>
        <v>8000</v>
      </c>
      <c r="E147" s="153"/>
      <c r="F147" s="154"/>
      <c r="G147" s="154"/>
    </row>
    <row r="148" spans="1:7" x14ac:dyDescent="0.25">
      <c r="A148" s="272" t="s">
        <v>114</v>
      </c>
      <c r="B148" s="273"/>
      <c r="C148" s="273" t="s">
        <v>115</v>
      </c>
      <c r="D148" s="273"/>
      <c r="E148" s="273" t="s">
        <v>11</v>
      </c>
      <c r="F148" s="273"/>
      <c r="G148" s="155" t="s">
        <v>116</v>
      </c>
    </row>
    <row r="149" spans="1:7" s="152" customFormat="1" ht="30.75" customHeight="1" thickBot="1" x14ac:dyDescent="0.25">
      <c r="A149" s="274" t="s">
        <v>76</v>
      </c>
      <c r="B149" s="275"/>
      <c r="C149" s="276">
        <f>+VLOOKUP(A149,'[1]CALCULO BS'!$B$6:$AW$1286,2,0)</f>
        <v>28427378</v>
      </c>
      <c r="D149" s="276"/>
      <c r="E149" s="277">
        <f>+VLOOKUP(A149,'[1]CALCULO BS'!$B$6:$AW$1286,3,0)</f>
        <v>45708</v>
      </c>
      <c r="F149" s="277"/>
      <c r="G149" s="156" t="str">
        <f>+VLOOKUP(A149,'[1]CALCULO BS'!$B$6:$AW$1286,4,0)</f>
        <v xml:space="preserve">SUPERVISOR DE ALMACEN </v>
      </c>
    </row>
    <row r="150" spans="1:7" ht="15.75" thickBot="1" x14ac:dyDescent="0.3">
      <c r="C150" s="157"/>
    </row>
    <row r="151" spans="1:7" ht="15.75" thickBot="1" x14ac:dyDescent="0.3">
      <c r="A151" s="268" t="s">
        <v>117</v>
      </c>
      <c r="B151" s="269"/>
      <c r="C151" s="158"/>
      <c r="D151" s="159" t="s">
        <v>8</v>
      </c>
      <c r="E151" s="270" t="s">
        <v>118</v>
      </c>
      <c r="F151" s="270"/>
      <c r="G151" s="160" t="s">
        <v>119</v>
      </c>
    </row>
    <row r="152" spans="1:7" ht="14.25" customHeight="1" x14ac:dyDescent="0.25">
      <c r="A152" s="161" t="s">
        <v>120</v>
      </c>
      <c r="B152" s="162"/>
      <c r="C152" s="163"/>
      <c r="D152" s="164">
        <f>+VLOOKUP(A149,'CALCULO BS'!$B$6:$AW$1286,16,0)</f>
        <v>9</v>
      </c>
      <c r="E152" s="271">
        <f>+VLOOKUP(A149,'CALCULO BS'!$B$6:$AW$1286,17,0)</f>
        <v>2400</v>
      </c>
      <c r="F152" s="271"/>
      <c r="G152" s="164"/>
    </row>
    <row r="153" spans="1:7" ht="9.75" customHeight="1" x14ac:dyDescent="0.25">
      <c r="A153" s="161" t="s">
        <v>121</v>
      </c>
      <c r="B153" s="162"/>
      <c r="C153" s="163"/>
      <c r="D153" s="164">
        <f>+VLOOKUP(A149,'CALCULO BS'!$B$6:$AW$1286,18,0)</f>
        <v>4</v>
      </c>
      <c r="E153" s="267">
        <f>+VLOOKUP(A149,'CALCULO BS'!$B$6:$AW$1286,19,0)</f>
        <v>973.73090909090922</v>
      </c>
      <c r="F153" s="267"/>
      <c r="G153" s="165"/>
    </row>
    <row r="154" spans="1:7" ht="9.75" customHeight="1" x14ac:dyDescent="0.25">
      <c r="A154" s="161" t="s">
        <v>122</v>
      </c>
      <c r="B154" s="162"/>
      <c r="C154" s="163"/>
      <c r="D154" s="164">
        <f>+VLOOKUP(A149,'[1]CALCULO BS'!$B$6:$AW$1286,20,0)</f>
        <v>0</v>
      </c>
      <c r="E154" s="267">
        <f>+VLOOKUP(A149,'[1]CALCULO BS'!$B$6:$AW$1286,21,0)</f>
        <v>0</v>
      </c>
      <c r="F154" s="267"/>
      <c r="G154" s="165"/>
    </row>
    <row r="155" spans="1:7" ht="9.75" customHeight="1" x14ac:dyDescent="0.25">
      <c r="A155" s="161" t="s">
        <v>123</v>
      </c>
      <c r="B155" s="162"/>
      <c r="C155" s="163"/>
      <c r="D155" s="164">
        <f>+VLOOKUP(A149,'[1]CALCULO BS'!$B$6:$AW$1286,22,0)</f>
        <v>0</v>
      </c>
      <c r="E155" s="267">
        <f>+VLOOKUP(A149,'[1]CALCULO BS'!$B$6:$AW$1286,23,0)</f>
        <v>0</v>
      </c>
      <c r="F155" s="267"/>
      <c r="G155" s="165"/>
    </row>
    <row r="156" spans="1:7" ht="9.75" customHeight="1" x14ac:dyDescent="0.25">
      <c r="A156" s="161" t="s">
        <v>125</v>
      </c>
      <c r="B156" s="152"/>
      <c r="C156" s="152"/>
      <c r="D156" s="164">
        <f>+VLOOKUP(A149,'CALCULO BS'!$B$6:$AW$1286,27,0)</f>
        <v>2</v>
      </c>
      <c r="E156" s="267">
        <f>+VLOOKUP(A149,'CALCULO BS'!$B$6:$AW$1286,28,0)</f>
        <v>100</v>
      </c>
      <c r="F156" s="267"/>
      <c r="G156" s="166"/>
    </row>
    <row r="157" spans="1:7" ht="9.75" customHeight="1" x14ac:dyDescent="0.25">
      <c r="A157" s="161" t="s">
        <v>126</v>
      </c>
      <c r="B157" s="152"/>
      <c r="C157" s="152"/>
      <c r="D157" s="164">
        <f>+VLOOKUP(A149,'[1]CALCULO BS'!$B$6:$AW$1286,27,0)</f>
        <v>0</v>
      </c>
      <c r="E157" s="267">
        <f>+VLOOKUP(A149,'[1]CALCULO BS'!$B$6:$AW$1286,28,0)</f>
        <v>0</v>
      </c>
      <c r="F157" s="267"/>
      <c r="G157" s="166"/>
    </row>
    <row r="158" spans="1:7" ht="9.75" customHeight="1" x14ac:dyDescent="0.25">
      <c r="A158" s="167" t="s">
        <v>127</v>
      </c>
      <c r="B158" s="168"/>
      <c r="C158" s="168"/>
      <c r="D158" s="164" t="str">
        <f>+IF(VLOOKUP(A149,'[1]CALCULO BS'!$B$6:$AW$1286,32,0)&gt;1,"1","0")</f>
        <v>0</v>
      </c>
      <c r="E158" s="267"/>
      <c r="F158" s="267"/>
      <c r="G158" s="165">
        <f>VLOOKUP(C$92,'[1]CALCULO BS'!C$7:AW$95,34,0)</f>
        <v>6</v>
      </c>
    </row>
    <row r="159" spans="1:7" ht="9.75" customHeight="1" x14ac:dyDescent="0.25">
      <c r="A159" s="167" t="s">
        <v>128</v>
      </c>
      <c r="B159" s="168"/>
      <c r="C159" s="168"/>
      <c r="D159" s="164" t="str">
        <f>+IF(VLOOKUP(A149,'[1]CALCULO BS'!$B$6:$AW$1286,32,0)&gt;1,"1","0")</f>
        <v>0</v>
      </c>
      <c r="E159" s="267"/>
      <c r="F159" s="267"/>
      <c r="G159" s="165">
        <f>VLOOKUP(C$92,'[1]CALCULO BS'!C$7:AW$95,35,0)</f>
        <v>0.75</v>
      </c>
    </row>
    <row r="160" spans="1:7" ht="9.75" customHeight="1" x14ac:dyDescent="0.25">
      <c r="A160" s="167" t="s">
        <v>129</v>
      </c>
      <c r="B160" s="168"/>
      <c r="C160" s="168"/>
      <c r="D160" s="164">
        <v>0</v>
      </c>
      <c r="E160" s="267"/>
      <c r="F160" s="267"/>
      <c r="G160" s="165">
        <f>VLOOKUP(C$149,'[1]CALCULO BS'!C$7:AW$95,37,0)</f>
        <v>20</v>
      </c>
    </row>
    <row r="161" spans="1:7" ht="9.75" hidden="1" customHeight="1" x14ac:dyDescent="0.25">
      <c r="A161" s="161" t="s">
        <v>130</v>
      </c>
      <c r="B161" s="169"/>
      <c r="C161" s="169"/>
      <c r="D161" s="164">
        <v>0</v>
      </c>
      <c r="E161" s="267"/>
      <c r="F161" s="267"/>
      <c r="G161" s="165">
        <v>0</v>
      </c>
    </row>
    <row r="162" spans="1:7" ht="9.75" hidden="1" customHeight="1" x14ac:dyDescent="0.25">
      <c r="A162" s="167" t="s">
        <v>131</v>
      </c>
      <c r="B162" s="168"/>
      <c r="C162" s="168"/>
      <c r="D162" s="164">
        <f>+VLOOKUP(A149,'[1]CALCULO BS'!$B$6:$AW$1286,37,0)</f>
        <v>0</v>
      </c>
      <c r="E162" s="267"/>
      <c r="F162" s="267"/>
      <c r="G162" s="165">
        <v>0</v>
      </c>
    </row>
    <row r="163" spans="1:7" ht="9.75" hidden="1" customHeight="1" thickBot="1" x14ac:dyDescent="0.3">
      <c r="A163" s="170" t="s">
        <v>132</v>
      </c>
      <c r="B163" s="171"/>
      <c r="C163" s="171"/>
      <c r="D163" s="172">
        <v>0</v>
      </c>
      <c r="E163" s="278"/>
      <c r="F163" s="278"/>
      <c r="G163" s="173">
        <v>0</v>
      </c>
    </row>
    <row r="164" spans="1:7" x14ac:dyDescent="0.25">
      <c r="B164" s="279"/>
      <c r="C164" s="279"/>
      <c r="D164" s="279"/>
      <c r="E164" s="280">
        <f>SUM(E152:F163)</f>
        <v>3473.7309090909093</v>
      </c>
      <c r="F164" s="280"/>
      <c r="G164" s="174">
        <f>SUM(G152:G163)</f>
        <v>26.75</v>
      </c>
    </row>
    <row r="165" spans="1:7" x14ac:dyDescent="0.25">
      <c r="C165" s="175"/>
      <c r="E165" s="281" t="s">
        <v>133</v>
      </c>
      <c r="F165" s="282"/>
      <c r="G165" s="176">
        <f>+E164-G164</f>
        <v>3446.9809090909093</v>
      </c>
    </row>
    <row r="166" spans="1:7" ht="15.75" thickBot="1" x14ac:dyDescent="0.3">
      <c r="F166" s="177"/>
      <c r="G166" s="177"/>
    </row>
    <row r="167" spans="1:7" x14ac:dyDescent="0.25">
      <c r="F167" s="283" t="s">
        <v>134</v>
      </c>
      <c r="G167" s="283"/>
    </row>
    <row r="168" spans="1:7" ht="5.25" customHeight="1" x14ac:dyDescent="0.25"/>
    <row r="169" spans="1:7" ht="1.5" customHeight="1" x14ac:dyDescent="0.25">
      <c r="A169" s="178"/>
      <c r="B169" s="178"/>
      <c r="C169" s="178"/>
      <c r="D169" s="178"/>
      <c r="E169" s="178"/>
      <c r="F169" s="178"/>
      <c r="G169" s="178"/>
    </row>
    <row r="170" spans="1:7" ht="11.25" customHeight="1" thickBot="1" x14ac:dyDescent="0.3">
      <c r="A170" s="264" t="s">
        <v>113</v>
      </c>
      <c r="B170" s="264"/>
      <c r="C170" s="264"/>
      <c r="D170" s="264"/>
      <c r="E170" s="264"/>
      <c r="F170" s="264"/>
      <c r="G170" s="264"/>
    </row>
    <row r="171" spans="1:7" ht="11.25" customHeight="1" thickTop="1" x14ac:dyDescent="0.25">
      <c r="A171" s="152"/>
      <c r="B171" s="152"/>
      <c r="C171" s="153" t="s">
        <v>163</v>
      </c>
      <c r="D171" s="265" t="s">
        <v>49</v>
      </c>
      <c r="E171" s="265"/>
      <c r="F171" s="265"/>
      <c r="G171" s="265"/>
    </row>
    <row r="172" spans="1:7" ht="11.25" customHeight="1" x14ac:dyDescent="0.25">
      <c r="A172" s="152"/>
      <c r="B172" s="152"/>
      <c r="C172" s="153" t="s">
        <v>98</v>
      </c>
      <c r="D172" s="265" t="str">
        <f>+VLOOKUP($D$4,[1]DATOS!$C$1:$E$9,2,0)</f>
        <v>J-500253052</v>
      </c>
      <c r="E172" s="265"/>
      <c r="F172" s="265"/>
      <c r="G172" s="265"/>
    </row>
    <row r="173" spans="1:7" ht="24" customHeight="1" x14ac:dyDescent="0.25">
      <c r="A173" s="152"/>
      <c r="B173" s="152"/>
      <c r="C173" s="153" t="s">
        <v>99</v>
      </c>
      <c r="D173" s="266" t="str">
        <f>+VLOOKUP($D$4,[1]DATOS!$C$1:$E$9,3,0)</f>
        <v>CARRERA 3 ESQUINA CALLE 10, BARRIO CURAZAO- MUNICIPIO GUANARE -PORTUGUESA</v>
      </c>
      <c r="E173" s="266"/>
      <c r="F173" s="266"/>
      <c r="G173" s="266"/>
    </row>
    <row r="174" spans="1:7" ht="11.25" customHeight="1" x14ac:dyDescent="0.25">
      <c r="A174" s="152"/>
      <c r="B174" s="152"/>
      <c r="C174" s="153" t="s">
        <v>100</v>
      </c>
      <c r="D174" s="265" t="str">
        <f>+[1]LISTADOS!$A$4</f>
        <v>SEMANA DEL 08/12/2025 AL 14/12/2025</v>
      </c>
      <c r="E174" s="265"/>
      <c r="F174" s="265"/>
      <c r="G174" s="265"/>
    </row>
    <row r="175" spans="1:7" ht="15.75" thickBot="1" x14ac:dyDescent="0.3">
      <c r="C175" s="153" t="s">
        <v>166</v>
      </c>
      <c r="D175" s="154">
        <f>VLOOKUP(A177,LISTADOS!$B$7:Q$19,13,0)</f>
        <v>10000</v>
      </c>
      <c r="E175" s="153"/>
      <c r="F175" s="154"/>
      <c r="G175" s="154"/>
    </row>
    <row r="176" spans="1:7" x14ac:dyDescent="0.25">
      <c r="A176" s="272" t="s">
        <v>114</v>
      </c>
      <c r="B176" s="273"/>
      <c r="C176" s="273" t="s">
        <v>115</v>
      </c>
      <c r="D176" s="273"/>
      <c r="E176" s="273" t="s">
        <v>11</v>
      </c>
      <c r="F176" s="273"/>
      <c r="G176" s="155" t="s">
        <v>116</v>
      </c>
    </row>
    <row r="177" spans="1:7" s="152" customFormat="1" ht="23.25" customHeight="1" thickBot="1" x14ac:dyDescent="0.25">
      <c r="A177" s="274" t="s">
        <v>80</v>
      </c>
      <c r="B177" s="275"/>
      <c r="C177" s="276">
        <f>+VLOOKUP(A177,'[1]CALCULO BS'!$B$6:$AW$1286,2,0)</f>
        <v>26940897</v>
      </c>
      <c r="D177" s="276"/>
      <c r="E177" s="277">
        <f>+VLOOKUP(A177,'[1]CALCULO BS'!$B$6:$AW$1286,3,0)</f>
        <v>45712</v>
      </c>
      <c r="F177" s="277"/>
      <c r="G177" s="156" t="str">
        <f>+VLOOKUP(A177,'[1]CALCULO BS'!$B$6:$AW$1286,4,0)</f>
        <v>GERENTE</v>
      </c>
    </row>
    <row r="178" spans="1:7" ht="15.75" thickBot="1" x14ac:dyDescent="0.3">
      <c r="C178" s="157"/>
    </row>
    <row r="179" spans="1:7" ht="15.75" thickBot="1" x14ac:dyDescent="0.3">
      <c r="A179" s="268" t="s">
        <v>117</v>
      </c>
      <c r="B179" s="269"/>
      <c r="C179" s="158"/>
      <c r="D179" s="159" t="s">
        <v>8</v>
      </c>
      <c r="E179" s="270" t="s">
        <v>118</v>
      </c>
      <c r="F179" s="270"/>
      <c r="G179" s="160" t="s">
        <v>119</v>
      </c>
    </row>
    <row r="180" spans="1:7" ht="15" customHeight="1" x14ac:dyDescent="0.25">
      <c r="A180" s="161" t="s">
        <v>120</v>
      </c>
      <c r="B180" s="162"/>
      <c r="C180" s="163"/>
      <c r="D180" s="164">
        <f>+VLOOKUP(A177,'CALCULO BS'!$B$6:$AW$1286,16,0)</f>
        <v>11</v>
      </c>
      <c r="E180" s="271">
        <f>+VLOOKUP(A177,'CALCULO BS'!$B$6:$AW$1286,17,0)</f>
        <v>3666.6666666666665</v>
      </c>
      <c r="F180" s="271"/>
      <c r="G180" s="164"/>
    </row>
    <row r="181" spans="1:7" ht="9.75" customHeight="1" x14ac:dyDescent="0.25">
      <c r="A181" s="161" t="s">
        <v>121</v>
      </c>
      <c r="B181" s="162"/>
      <c r="C181" s="163"/>
      <c r="D181" s="164">
        <f>+VLOOKUP(A177,'CALCULO BS'!$B$6:$AW$1286,18,0)</f>
        <v>4</v>
      </c>
      <c r="E181" s="267">
        <f>+VLOOKUP(A177,'CALCULO BS'!$B$6:$AW$1286,19,0)</f>
        <v>1515.151515151515</v>
      </c>
      <c r="F181" s="267"/>
      <c r="G181" s="165"/>
    </row>
    <row r="182" spans="1:7" ht="9.75" customHeight="1" x14ac:dyDescent="0.25">
      <c r="A182" s="161" t="s">
        <v>122</v>
      </c>
      <c r="B182" s="162"/>
      <c r="C182" s="163"/>
      <c r="D182" s="164">
        <f>+VLOOKUP(A177,'CALCULO BS'!$B$6:$AW$1286,20,0)</f>
        <v>1</v>
      </c>
      <c r="E182" s="267">
        <f>+VLOOKUP(A177,'CALCULO BS'!$B$6:$AW$1286,21,0)</f>
        <v>500</v>
      </c>
      <c r="F182" s="267"/>
      <c r="G182" s="165"/>
    </row>
    <row r="183" spans="1:7" ht="9.75" customHeight="1" x14ac:dyDescent="0.25">
      <c r="A183" s="161" t="s">
        <v>123</v>
      </c>
      <c r="B183" s="162"/>
      <c r="C183" s="163"/>
      <c r="D183" s="164">
        <f>+VLOOKUP(A177,'[1]CALCULO BS'!$B$6:$AW$1286,22,0)</f>
        <v>0</v>
      </c>
      <c r="E183" s="267">
        <f>+VLOOKUP(A177,'[1]CALCULO BS'!$B$6:$AW$1286,23,0)</f>
        <v>0</v>
      </c>
      <c r="F183" s="267"/>
      <c r="G183" s="165"/>
    </row>
    <row r="184" spans="1:7" ht="9.75" customHeight="1" x14ac:dyDescent="0.25">
      <c r="A184" s="161" t="s">
        <v>125</v>
      </c>
      <c r="B184" s="152"/>
      <c r="C184" s="152"/>
      <c r="D184" s="164">
        <f>+VLOOKUP(A177,'[1]CALCULO BS'!$B$6:$AW$1286,25,0)</f>
        <v>0</v>
      </c>
      <c r="E184" s="267">
        <f>+VLOOKUP(A177,'[1]CALCULO BS'!$B$6:$AW$1286,26,0)</f>
        <v>0</v>
      </c>
      <c r="F184" s="267"/>
      <c r="G184" s="166"/>
    </row>
    <row r="185" spans="1:7" ht="9.75" customHeight="1" x14ac:dyDescent="0.25">
      <c r="A185" s="161" t="s">
        <v>126</v>
      </c>
      <c r="B185" s="152"/>
      <c r="C185" s="152"/>
      <c r="D185" s="164">
        <f>+VLOOKUP(A177,'[1]CALCULO BS'!$B$6:$AW$1286,27,0)</f>
        <v>0</v>
      </c>
      <c r="E185" s="267">
        <f>+VLOOKUP(A177,'[1]CALCULO BS'!$B$6:$AW$1286,28,0)</f>
        <v>0</v>
      </c>
      <c r="F185" s="267"/>
      <c r="G185" s="166"/>
    </row>
    <row r="186" spans="1:7" ht="9.75" customHeight="1" x14ac:dyDescent="0.25">
      <c r="A186" s="167" t="s">
        <v>127</v>
      </c>
      <c r="B186" s="168"/>
      <c r="C186" s="168"/>
      <c r="D186" s="164" t="str">
        <f>+IF(VLOOKUP(A177,'[1]CALCULO BS'!$B$6:$AW$1286,32,0)&gt;1,"1","0")</f>
        <v>0</v>
      </c>
      <c r="E186" s="267"/>
      <c r="F186" s="267"/>
      <c r="G186" s="165">
        <f>VLOOKUP(C$92,'[1]CALCULO BS'!C$7:AW$95,34,0)</f>
        <v>6</v>
      </c>
    </row>
    <row r="187" spans="1:7" ht="9.75" customHeight="1" x14ac:dyDescent="0.25">
      <c r="A187" s="167" t="s">
        <v>128</v>
      </c>
      <c r="B187" s="168"/>
      <c r="C187" s="168"/>
      <c r="D187" s="164" t="str">
        <f>+IF(VLOOKUP(A177,'[1]CALCULO BS'!$B$6:$AW$1286,32,0)&gt;1,"1","0")</f>
        <v>0</v>
      </c>
      <c r="E187" s="267"/>
      <c r="F187" s="267"/>
      <c r="G187" s="165">
        <f>VLOOKUP(C$92,'[1]CALCULO BS'!C$7:AW$95,35,0)</f>
        <v>0.75</v>
      </c>
    </row>
    <row r="188" spans="1:7" ht="9.75" customHeight="1" x14ac:dyDescent="0.25">
      <c r="A188" s="167" t="s">
        <v>129</v>
      </c>
      <c r="B188" s="168"/>
      <c r="C188" s="168"/>
      <c r="D188" s="164">
        <v>0</v>
      </c>
      <c r="E188" s="267"/>
      <c r="F188" s="267"/>
      <c r="G188" s="165">
        <f>VLOOKUP(C$177,'[1]CALCULO BS'!C$7:AW$95,37,0)</f>
        <v>25</v>
      </c>
    </row>
    <row r="189" spans="1:7" ht="9.75" hidden="1" customHeight="1" x14ac:dyDescent="0.25">
      <c r="A189" s="161" t="s">
        <v>130</v>
      </c>
      <c r="B189" s="169"/>
      <c r="C189" s="169"/>
      <c r="D189" s="164">
        <v>0</v>
      </c>
      <c r="E189" s="267"/>
      <c r="F189" s="267"/>
      <c r="G189" s="165">
        <v>0</v>
      </c>
    </row>
    <row r="190" spans="1:7" ht="9.75" hidden="1" customHeight="1" x14ac:dyDescent="0.25">
      <c r="A190" s="167" t="s">
        <v>131</v>
      </c>
      <c r="B190" s="168"/>
      <c r="C190" s="168"/>
      <c r="D190" s="164">
        <f>+VLOOKUP(A177,'[1]CALCULO BS'!$B$6:$AW$1286,37,0)</f>
        <v>0</v>
      </c>
      <c r="E190" s="267"/>
      <c r="F190" s="267"/>
      <c r="G190" s="165">
        <v>0</v>
      </c>
    </row>
    <row r="191" spans="1:7" ht="9.75" hidden="1" customHeight="1" thickBot="1" x14ac:dyDescent="0.3">
      <c r="A191" s="170" t="s">
        <v>132</v>
      </c>
      <c r="B191" s="171"/>
      <c r="C191" s="171"/>
      <c r="D191" s="172">
        <v>0</v>
      </c>
      <c r="E191" s="278"/>
      <c r="F191" s="278"/>
      <c r="G191" s="173">
        <v>0</v>
      </c>
    </row>
    <row r="192" spans="1:7" x14ac:dyDescent="0.25">
      <c r="B192" s="279"/>
      <c r="C192" s="279"/>
      <c r="D192" s="279"/>
      <c r="E192" s="280">
        <f>SUM(E180:F191)</f>
        <v>5681.818181818182</v>
      </c>
      <c r="F192" s="280"/>
      <c r="G192" s="174">
        <f>SUM(G180:G191)</f>
        <v>31.75</v>
      </c>
    </row>
    <row r="193" spans="1:7" x14ac:dyDescent="0.25">
      <c r="C193" s="175"/>
      <c r="E193" s="281" t="s">
        <v>133</v>
      </c>
      <c r="F193" s="282"/>
      <c r="G193" s="176">
        <f>+E192-G192</f>
        <v>5650.068181818182</v>
      </c>
    </row>
    <row r="194" spans="1:7" ht="15.75" thickBot="1" x14ac:dyDescent="0.3">
      <c r="F194" s="177"/>
      <c r="G194" s="177"/>
    </row>
    <row r="195" spans="1:7" x14ac:dyDescent="0.25">
      <c r="F195" s="283" t="s">
        <v>134</v>
      </c>
      <c r="G195" s="283"/>
    </row>
    <row r="196" spans="1:7" ht="6" customHeight="1" x14ac:dyDescent="0.25"/>
    <row r="197" spans="1:7" ht="11.25" customHeight="1" thickBot="1" x14ac:dyDescent="0.3">
      <c r="A197" s="264" t="s">
        <v>113</v>
      </c>
      <c r="B197" s="264"/>
      <c r="C197" s="264"/>
      <c r="D197" s="264"/>
      <c r="E197" s="264"/>
      <c r="F197" s="264"/>
      <c r="G197" s="264"/>
    </row>
    <row r="198" spans="1:7" ht="11.25" customHeight="1" thickTop="1" x14ac:dyDescent="0.25">
      <c r="A198" s="152"/>
      <c r="B198" s="152"/>
      <c r="C198" s="153" t="s">
        <v>163</v>
      </c>
      <c r="D198" s="265" t="s">
        <v>49</v>
      </c>
      <c r="E198" s="265"/>
      <c r="F198" s="265"/>
      <c r="G198" s="265"/>
    </row>
    <row r="199" spans="1:7" ht="11.25" customHeight="1" x14ac:dyDescent="0.25">
      <c r="A199" s="152"/>
      <c r="B199" s="152"/>
      <c r="C199" s="153" t="s">
        <v>98</v>
      </c>
      <c r="D199" s="265" t="str">
        <f>+VLOOKUP($D$4,[1]DATOS!$C$1:$E$9,2,0)</f>
        <v>J-500253052</v>
      </c>
      <c r="E199" s="265"/>
      <c r="F199" s="265"/>
      <c r="G199" s="265"/>
    </row>
    <row r="200" spans="1:7" ht="24" customHeight="1" x14ac:dyDescent="0.25">
      <c r="A200" s="152"/>
      <c r="B200" s="152"/>
      <c r="C200" s="153" t="s">
        <v>99</v>
      </c>
      <c r="D200" s="266" t="str">
        <f>+VLOOKUP($D$4,[1]DATOS!$C$1:$E$9,3,0)</f>
        <v>CARRERA 3 ESQUINA CALLE 10, BARRIO CURAZAO- MUNICIPIO GUANARE -PORTUGUESA</v>
      </c>
      <c r="E200" s="266"/>
      <c r="F200" s="266"/>
      <c r="G200" s="266"/>
    </row>
    <row r="201" spans="1:7" ht="11.25" customHeight="1" x14ac:dyDescent="0.25">
      <c r="A201" s="152"/>
      <c r="B201" s="152"/>
      <c r="C201" s="153" t="s">
        <v>100</v>
      </c>
      <c r="D201" s="265" t="str">
        <f>+[1]LISTADOS!$A$4</f>
        <v>SEMANA DEL 08/12/2025 AL 14/12/2025</v>
      </c>
      <c r="E201" s="265"/>
      <c r="F201" s="265"/>
      <c r="G201" s="265"/>
    </row>
    <row r="202" spans="1:7" ht="15.75" thickBot="1" x14ac:dyDescent="0.3">
      <c r="C202" s="153" t="s">
        <v>166</v>
      </c>
      <c r="D202" s="154">
        <f>VLOOKUP(A204,LISTADOS!$B$7:Q$19,13,0)</f>
        <v>80257.5</v>
      </c>
      <c r="E202" s="153"/>
      <c r="F202" s="154"/>
      <c r="G202" s="154"/>
    </row>
    <row r="203" spans="1:7" x14ac:dyDescent="0.25">
      <c r="A203" s="272" t="s">
        <v>114</v>
      </c>
      <c r="B203" s="273"/>
      <c r="C203" s="273" t="s">
        <v>115</v>
      </c>
      <c r="D203" s="273"/>
      <c r="E203" s="273" t="s">
        <v>11</v>
      </c>
      <c r="F203" s="273"/>
      <c r="G203" s="155" t="s">
        <v>116</v>
      </c>
    </row>
    <row r="204" spans="1:7" s="152" customFormat="1" ht="15.75" customHeight="1" thickBot="1" x14ac:dyDescent="0.25">
      <c r="A204" s="274" t="s">
        <v>82</v>
      </c>
      <c r="B204" s="275"/>
      <c r="C204" s="276">
        <f>+VLOOKUP(A204,'[1]CALCULO BS'!$B$6:$AW$1286,2,0)</f>
        <v>18251792</v>
      </c>
      <c r="D204" s="276"/>
      <c r="E204" s="277">
        <f>+VLOOKUP(A204,'[1]CALCULO BS'!$B$6:$AW$1286,3,0)</f>
        <v>45323</v>
      </c>
      <c r="F204" s="277"/>
      <c r="G204" s="156" t="str">
        <f>+VLOOKUP(A204,'[1]CALCULO BS'!$B$6:$AW$1286,4,0)</f>
        <v>FARMACEUTICO</v>
      </c>
    </row>
    <row r="205" spans="1:7" ht="15.75" thickBot="1" x14ac:dyDescent="0.3">
      <c r="C205" s="157"/>
    </row>
    <row r="206" spans="1:7" ht="15.75" thickBot="1" x14ac:dyDescent="0.3">
      <c r="A206" s="268" t="s">
        <v>117</v>
      </c>
      <c r="B206" s="269"/>
      <c r="C206" s="158"/>
      <c r="D206" s="159" t="s">
        <v>8</v>
      </c>
      <c r="E206" s="270" t="s">
        <v>118</v>
      </c>
      <c r="F206" s="270"/>
      <c r="G206" s="160" t="s">
        <v>119</v>
      </c>
    </row>
    <row r="207" spans="1:7" ht="10.5" customHeight="1" x14ac:dyDescent="0.25">
      <c r="A207" s="161" t="s">
        <v>120</v>
      </c>
      <c r="B207" s="162"/>
      <c r="C207" s="163"/>
      <c r="D207" s="164">
        <f>+VLOOKUP(A204,'CALCULO BS'!$B$6:$AW$1286,16,0)</f>
        <v>11</v>
      </c>
      <c r="E207" s="271">
        <f>+VLOOKUP(A204,'CALCULO BS'!$B$6:$AW$1286,17,0)</f>
        <v>29427.75</v>
      </c>
      <c r="F207" s="271"/>
      <c r="G207" s="164"/>
    </row>
    <row r="208" spans="1:7" ht="10.5" customHeight="1" x14ac:dyDescent="0.25">
      <c r="A208" s="161" t="s">
        <v>121</v>
      </c>
      <c r="B208" s="162"/>
      <c r="C208" s="163"/>
      <c r="D208" s="164">
        <f>+VLOOKUP(A204,'CALCULO BS'!$B$6:$AW$1286,18,0)</f>
        <v>4</v>
      </c>
      <c r="E208" s="267">
        <f>+VLOOKUP(A204,'CALCULO BS'!$B$6:$AW$1286,19,0)</f>
        <v>10701</v>
      </c>
      <c r="F208" s="267"/>
      <c r="G208" s="165"/>
    </row>
    <row r="209" spans="1:7" ht="10.5" customHeight="1" x14ac:dyDescent="0.25">
      <c r="A209" s="161" t="s">
        <v>122</v>
      </c>
      <c r="B209" s="162"/>
      <c r="C209" s="163"/>
      <c r="D209" s="164">
        <f>+VLOOKUP(A204,'[1]CALCULO BS'!$B$6:$AW$1286,20,0)</f>
        <v>0</v>
      </c>
      <c r="E209" s="267">
        <f>+VLOOKUP(A204,'[1]CALCULO BS'!$B$6:$AW$1286,21,0)</f>
        <v>0</v>
      </c>
      <c r="F209" s="267"/>
      <c r="G209" s="165"/>
    </row>
    <row r="210" spans="1:7" ht="10.5" customHeight="1" x14ac:dyDescent="0.25">
      <c r="A210" s="161" t="s">
        <v>123</v>
      </c>
      <c r="B210" s="162"/>
      <c r="C210" s="163"/>
      <c r="D210" s="164">
        <f>+VLOOKUP(A204,'[1]CALCULO BS'!$B$6:$AW$1286,22,0)</f>
        <v>0</v>
      </c>
      <c r="E210" s="267">
        <f>+VLOOKUP(A204,'[1]CALCULO BS'!$B$6:$AW$1286,23,0)</f>
        <v>0</v>
      </c>
      <c r="F210" s="267"/>
      <c r="G210" s="165"/>
    </row>
    <row r="211" spans="1:7" ht="10.5" customHeight="1" x14ac:dyDescent="0.25">
      <c r="A211" s="161" t="s">
        <v>125</v>
      </c>
      <c r="B211" s="152"/>
      <c r="C211" s="152"/>
      <c r="D211" s="164">
        <f>+VLOOKUP(A204,'[1]CALCULO BS'!$B$6:$AW$1286,25,0)</f>
        <v>0</v>
      </c>
      <c r="E211" s="267">
        <f>+VLOOKUP(A204,'[1]CALCULO BS'!$B$6:$AW$1286,26,0)</f>
        <v>0</v>
      </c>
      <c r="F211" s="267"/>
      <c r="G211" s="166"/>
    </row>
    <row r="212" spans="1:7" ht="10.5" customHeight="1" x14ac:dyDescent="0.25">
      <c r="A212" s="161" t="s">
        <v>126</v>
      </c>
      <c r="B212" s="152"/>
      <c r="C212" s="152"/>
      <c r="D212" s="164">
        <f>+VLOOKUP(A204,'[1]CALCULO BS'!$B$6:$AW$1286,27,0)</f>
        <v>0</v>
      </c>
      <c r="E212" s="267">
        <f>+VLOOKUP(A204,'[1]CALCULO BS'!$B$6:$AW$1286,28,0)</f>
        <v>0</v>
      </c>
      <c r="F212" s="267"/>
      <c r="G212" s="166"/>
    </row>
    <row r="213" spans="1:7" ht="10.5" customHeight="1" x14ac:dyDescent="0.25">
      <c r="A213" s="167" t="s">
        <v>127</v>
      </c>
      <c r="B213" s="168"/>
      <c r="C213" s="168"/>
      <c r="D213" s="164" t="str">
        <f>+IF(VLOOKUP(A204,'[1]CALCULO BS'!$B$6:$AW$1286,32,0)&gt;1,"1","0")</f>
        <v>0</v>
      </c>
      <c r="E213" s="267"/>
      <c r="F213" s="267"/>
      <c r="G213" s="165">
        <f>VLOOKUP(C$92,'[1]CALCULO BS'!C$7:AW$95,34,0)</f>
        <v>6</v>
      </c>
    </row>
    <row r="214" spans="1:7" ht="10.5" customHeight="1" x14ac:dyDescent="0.25">
      <c r="A214" s="167" t="s">
        <v>128</v>
      </c>
      <c r="B214" s="168"/>
      <c r="C214" s="168"/>
      <c r="D214" s="164" t="str">
        <f>+IF(VLOOKUP(A204,'[1]CALCULO BS'!$B$6:$AW$1286,32,0)&gt;1,"1","0")</f>
        <v>0</v>
      </c>
      <c r="E214" s="267"/>
      <c r="F214" s="267"/>
      <c r="G214" s="165">
        <f>VLOOKUP(C$92,'[1]CALCULO BS'!C$7:AW$95,35,0)</f>
        <v>0.75</v>
      </c>
    </row>
    <row r="215" spans="1:7" ht="10.5" customHeight="1" x14ac:dyDescent="0.25">
      <c r="A215" s="167" t="s">
        <v>129</v>
      </c>
      <c r="B215" s="168"/>
      <c r="C215" s="168"/>
      <c r="D215" s="164">
        <v>0</v>
      </c>
      <c r="E215" s="267"/>
      <c r="F215" s="267"/>
      <c r="G215" s="165">
        <f>VLOOKUP(C$204,'[1]CALCULO BS'!C$7:AW$95,37,0)</f>
        <v>334.6875</v>
      </c>
    </row>
    <row r="216" spans="1:7" ht="9.75" hidden="1" customHeight="1" x14ac:dyDescent="0.25">
      <c r="A216" s="161" t="s">
        <v>130</v>
      </c>
      <c r="B216" s="169"/>
      <c r="C216" s="169"/>
      <c r="D216" s="164">
        <v>0</v>
      </c>
      <c r="E216" s="267"/>
      <c r="F216" s="267"/>
      <c r="G216" s="165">
        <v>0</v>
      </c>
    </row>
    <row r="217" spans="1:7" ht="9.75" hidden="1" customHeight="1" x14ac:dyDescent="0.25">
      <c r="A217" s="167" t="s">
        <v>131</v>
      </c>
      <c r="B217" s="168"/>
      <c r="C217" s="168"/>
      <c r="D217" s="164">
        <f>+VLOOKUP(A204,'[1]CALCULO BS'!$B$6:$AW$1286,37,0)</f>
        <v>0</v>
      </c>
      <c r="E217" s="267"/>
      <c r="F217" s="267"/>
      <c r="G217" s="165">
        <v>0</v>
      </c>
    </row>
    <row r="218" spans="1:7" ht="9.75" hidden="1" customHeight="1" thickBot="1" x14ac:dyDescent="0.3">
      <c r="A218" s="170" t="s">
        <v>132</v>
      </c>
      <c r="B218" s="171"/>
      <c r="C218" s="171"/>
      <c r="D218" s="172">
        <v>0</v>
      </c>
      <c r="E218" s="278"/>
      <c r="F218" s="278"/>
      <c r="G218" s="173">
        <v>0</v>
      </c>
    </row>
    <row r="219" spans="1:7" x14ac:dyDescent="0.25">
      <c r="B219" s="279"/>
      <c r="C219" s="279"/>
      <c r="D219" s="279"/>
      <c r="E219" s="280">
        <f>SUM(E207:F218)</f>
        <v>40128.75</v>
      </c>
      <c r="F219" s="280"/>
      <c r="G219" s="174">
        <f>SUM(G207:G218)</f>
        <v>341.4375</v>
      </c>
    </row>
    <row r="220" spans="1:7" x14ac:dyDescent="0.25">
      <c r="C220" s="175"/>
      <c r="E220" s="281" t="s">
        <v>133</v>
      </c>
      <c r="F220" s="282"/>
      <c r="G220" s="176">
        <f>+E219-G219</f>
        <v>39787.3125</v>
      </c>
    </row>
    <row r="221" spans="1:7" ht="15.75" thickBot="1" x14ac:dyDescent="0.3">
      <c r="F221" s="177"/>
      <c r="G221" s="177"/>
    </row>
    <row r="222" spans="1:7" ht="15.75" customHeight="1" x14ac:dyDescent="0.25">
      <c r="F222" s="283" t="s">
        <v>134</v>
      </c>
      <c r="G222" s="283"/>
    </row>
    <row r="223" spans="1:7" ht="11.25" customHeight="1" thickBot="1" x14ac:dyDescent="0.3">
      <c r="A223" s="264" t="s">
        <v>113</v>
      </c>
      <c r="B223" s="264"/>
      <c r="C223" s="264"/>
      <c r="D223" s="264"/>
      <c r="E223" s="264"/>
      <c r="F223" s="264"/>
      <c r="G223" s="264"/>
    </row>
    <row r="224" spans="1:7" ht="11.25" customHeight="1" thickTop="1" x14ac:dyDescent="0.25">
      <c r="A224" s="152"/>
      <c r="B224" s="152"/>
      <c r="C224" s="153" t="s">
        <v>163</v>
      </c>
      <c r="D224" s="265" t="s">
        <v>49</v>
      </c>
      <c r="E224" s="265"/>
      <c r="F224" s="265"/>
      <c r="G224" s="265"/>
    </row>
    <row r="225" spans="1:7" ht="11.25" customHeight="1" x14ac:dyDescent="0.25">
      <c r="A225" s="152"/>
      <c r="B225" s="152"/>
      <c r="C225" s="153" t="s">
        <v>98</v>
      </c>
      <c r="D225" s="265" t="str">
        <f>+VLOOKUP($D$4,[1]DATOS!$C$1:$E$9,2,0)</f>
        <v>J-500253052</v>
      </c>
      <c r="E225" s="265"/>
      <c r="F225" s="265"/>
      <c r="G225" s="265"/>
    </row>
    <row r="226" spans="1:7" ht="24" customHeight="1" x14ac:dyDescent="0.25">
      <c r="A226" s="152"/>
      <c r="B226" s="152"/>
      <c r="C226" s="153" t="s">
        <v>99</v>
      </c>
      <c r="D226" s="266" t="str">
        <f>+VLOOKUP($D$4,[1]DATOS!$C$1:$E$9,3,0)</f>
        <v>CARRERA 3 ESQUINA CALLE 10, BARRIO CURAZAO- MUNICIPIO GUANARE -PORTUGUESA</v>
      </c>
      <c r="E226" s="266"/>
      <c r="F226" s="266"/>
      <c r="G226" s="266"/>
    </row>
    <row r="227" spans="1:7" ht="11.25" customHeight="1" x14ac:dyDescent="0.25">
      <c r="A227" s="152"/>
      <c r="B227" s="152"/>
      <c r="C227" s="153" t="s">
        <v>100</v>
      </c>
      <c r="D227" s="265" t="str">
        <f>+[1]LISTADOS!$A$4</f>
        <v>SEMANA DEL 08/12/2025 AL 14/12/2025</v>
      </c>
      <c r="E227" s="265"/>
      <c r="F227" s="265"/>
      <c r="G227" s="265"/>
    </row>
    <row r="228" spans="1:7" ht="15.75" thickBot="1" x14ac:dyDescent="0.3">
      <c r="C228" s="153" t="s">
        <v>166</v>
      </c>
      <c r="D228" s="154">
        <f>VLOOKUP(A230,LISTADOS!$B$7:Q$19,13,0)</f>
        <v>5600</v>
      </c>
      <c r="E228" s="153"/>
      <c r="F228" s="154"/>
      <c r="G228" s="154"/>
    </row>
    <row r="229" spans="1:7" x14ac:dyDescent="0.25">
      <c r="A229" s="272" t="s">
        <v>114</v>
      </c>
      <c r="B229" s="273"/>
      <c r="C229" s="273" t="s">
        <v>115</v>
      </c>
      <c r="D229" s="273"/>
      <c r="E229" s="273" t="s">
        <v>11</v>
      </c>
      <c r="F229" s="273"/>
      <c r="G229" s="155" t="s">
        <v>116</v>
      </c>
    </row>
    <row r="230" spans="1:7" s="152" customFormat="1" ht="30" customHeight="1" thickBot="1" x14ac:dyDescent="0.25">
      <c r="A230" s="274" t="s">
        <v>85</v>
      </c>
      <c r="B230" s="275"/>
      <c r="C230" s="276">
        <f>+VLOOKUP(A230,'[1]CALCULO BS'!$B$6:$AW$1286,2,0)</f>
        <v>30240358</v>
      </c>
      <c r="D230" s="276"/>
      <c r="E230" s="277">
        <f>+VLOOKUP(A230,'[1]CALCULO BS'!$B$6:$AW$1286,3,0)</f>
        <v>45999</v>
      </c>
      <c r="F230" s="277"/>
      <c r="G230" s="156" t="str">
        <f>+VLOOKUP(A230,'[1]CALCULO BS'!$B$6:$AW$1286,4,0)</f>
        <v>PROMOTOR DE VENTA</v>
      </c>
    </row>
    <row r="231" spans="1:7" ht="15.75" thickBot="1" x14ac:dyDescent="0.3">
      <c r="C231" s="157"/>
    </row>
    <row r="232" spans="1:7" ht="15.75" thickBot="1" x14ac:dyDescent="0.3">
      <c r="A232" s="268" t="s">
        <v>117</v>
      </c>
      <c r="B232" s="269"/>
      <c r="C232" s="158"/>
      <c r="D232" s="159" t="s">
        <v>8</v>
      </c>
      <c r="E232" s="270" t="s">
        <v>118</v>
      </c>
      <c r="F232" s="270"/>
      <c r="G232" s="160" t="s">
        <v>119</v>
      </c>
    </row>
    <row r="233" spans="1:7" ht="10.5" customHeight="1" x14ac:dyDescent="0.25">
      <c r="A233" s="161" t="s">
        <v>120</v>
      </c>
      <c r="B233" s="162"/>
      <c r="C233" s="163"/>
      <c r="D233" s="164">
        <f>+VLOOKUP(A230,'CALCULO BS'!$B$6:$AW$1286,16,0)</f>
        <v>11</v>
      </c>
      <c r="E233" s="271">
        <f>+VLOOKUP(A230,'CALCULO BS'!$B$6:$AW$1286,17,0)</f>
        <v>2053.333333333333</v>
      </c>
      <c r="F233" s="271"/>
      <c r="G233" s="164"/>
    </row>
    <row r="234" spans="1:7" ht="10.5" customHeight="1" x14ac:dyDescent="0.25">
      <c r="A234" s="161" t="s">
        <v>121</v>
      </c>
      <c r="B234" s="162"/>
      <c r="C234" s="163"/>
      <c r="D234" s="164">
        <f>+VLOOKUP(A230,'CALCULO BS'!$B$6:$AW$1286,18,0)</f>
        <v>4</v>
      </c>
      <c r="E234" s="267">
        <f>+VLOOKUP(A230,'CALCULO BS'!$B$6:$AW$1286,19,0)</f>
        <v>789.93939393939388</v>
      </c>
      <c r="F234" s="267"/>
      <c r="G234" s="165"/>
    </row>
    <row r="235" spans="1:7" ht="10.5" customHeight="1" x14ac:dyDescent="0.25">
      <c r="A235" s="161" t="s">
        <v>122</v>
      </c>
      <c r="B235" s="162"/>
      <c r="C235" s="163"/>
      <c r="D235" s="164">
        <f>+VLOOKUP(A230,'[1]CALCULO BS'!$B$6:$AW$1286,20,0)</f>
        <v>0</v>
      </c>
      <c r="E235" s="267">
        <f>+VLOOKUP(A230,'[1]CALCULO BS'!$B$6:$AW$1286,21,0)</f>
        <v>0</v>
      </c>
      <c r="F235" s="267"/>
      <c r="G235" s="165"/>
    </row>
    <row r="236" spans="1:7" ht="10.5" customHeight="1" x14ac:dyDescent="0.25">
      <c r="A236" s="161" t="s">
        <v>123</v>
      </c>
      <c r="B236" s="162"/>
      <c r="C236" s="163"/>
      <c r="D236" s="164">
        <f>+VLOOKUP(A230,'[1]CALCULO BS'!$B$6:$AW$1286,22,0)</f>
        <v>0</v>
      </c>
      <c r="E236" s="267">
        <f>+VLOOKUP(A230,'[1]CALCULO BS'!$B$6:$AW$1286,23,0)</f>
        <v>0</v>
      </c>
      <c r="F236" s="267"/>
      <c r="G236" s="165"/>
    </row>
    <row r="237" spans="1:7" ht="10.5" customHeight="1" x14ac:dyDescent="0.25">
      <c r="A237" s="161" t="s">
        <v>125</v>
      </c>
      <c r="B237" s="152"/>
      <c r="C237" s="152"/>
      <c r="D237" s="164">
        <f>+VLOOKUP(A230,'CALCULO BS'!$B$6:$AW$1286,27,0)</f>
        <v>3</v>
      </c>
      <c r="E237" s="267">
        <f>+VLOOKUP(A230,'CALCULO BS'!$B$6:$AW$1286,28,0)</f>
        <v>105</v>
      </c>
      <c r="F237" s="267"/>
      <c r="G237" s="166"/>
    </row>
    <row r="238" spans="1:7" ht="10.5" customHeight="1" x14ac:dyDescent="0.25">
      <c r="A238" s="161" t="s">
        <v>168</v>
      </c>
      <c r="B238" s="152"/>
      <c r="C238" s="152"/>
      <c r="D238" s="164">
        <f>+VLOOKUP(A230,'CALCULO BS'!$B$6:$AW$1286,29,0)</f>
        <v>2</v>
      </c>
      <c r="E238" s="267">
        <f>+VLOOKUP(A230,'CALCULO BS'!$B$6:$AW$1286,30,0)</f>
        <v>13.999999999999998</v>
      </c>
      <c r="F238" s="267"/>
      <c r="G238" s="166"/>
    </row>
    <row r="239" spans="1:7" ht="10.5" customHeight="1" x14ac:dyDescent="0.25">
      <c r="A239" s="161" t="s">
        <v>126</v>
      </c>
      <c r="B239" s="152"/>
      <c r="C239" s="152"/>
      <c r="D239" s="164">
        <f>+VLOOKUP(A230,'[1]CALCULO BS'!$B$6:$AW$1286,27,0)</f>
        <v>0</v>
      </c>
      <c r="E239" s="267"/>
      <c r="F239" s="267"/>
      <c r="G239" s="166"/>
    </row>
    <row r="240" spans="1:7" ht="10.5" customHeight="1" x14ac:dyDescent="0.25">
      <c r="A240" s="167" t="s">
        <v>127</v>
      </c>
      <c r="B240" s="168"/>
      <c r="C240" s="168"/>
      <c r="D240" s="164" t="str">
        <f>+IF(VLOOKUP(A230,'[1]CALCULO BS'!$B$6:$AW$1286,32,0)&gt;1,"1","0")</f>
        <v>0</v>
      </c>
      <c r="E240" s="267"/>
      <c r="F240" s="267"/>
      <c r="G240" s="165">
        <f>VLOOKUP(C$92,'[1]CALCULO BS'!C$7:AW$95,34,0)</f>
        <v>6</v>
      </c>
    </row>
    <row r="241" spans="1:7" ht="10.5" customHeight="1" x14ac:dyDescent="0.25">
      <c r="A241" s="167" t="s">
        <v>128</v>
      </c>
      <c r="B241" s="168"/>
      <c r="C241" s="168"/>
      <c r="D241" s="164" t="str">
        <f>+IF(VLOOKUP(A230,'[1]CALCULO BS'!$B$6:$AW$1286,32,0)&gt;1,"1","0")</f>
        <v>0</v>
      </c>
      <c r="E241" s="267"/>
      <c r="F241" s="267"/>
      <c r="G241" s="165">
        <f>VLOOKUP(C$92,'[1]CALCULO BS'!C$7:AW$95,35,0)</f>
        <v>0.75</v>
      </c>
    </row>
    <row r="242" spans="1:7" ht="10.5" customHeight="1" x14ac:dyDescent="0.25">
      <c r="A242" s="167" t="s">
        <v>129</v>
      </c>
      <c r="B242" s="168"/>
      <c r="C242" s="168"/>
      <c r="D242" s="164">
        <v>0</v>
      </c>
      <c r="E242" s="267"/>
      <c r="F242" s="267"/>
      <c r="G242" s="165">
        <f>VLOOKUP(C$230,'CALCULO BS'!C$7:AW$95,37,0)</f>
        <v>29.622727272727271</v>
      </c>
    </row>
    <row r="243" spans="1:7" ht="9.75" hidden="1" customHeight="1" x14ac:dyDescent="0.25">
      <c r="A243" s="161" t="s">
        <v>130</v>
      </c>
      <c r="B243" s="169"/>
      <c r="C243" s="169"/>
      <c r="D243" s="164">
        <v>0</v>
      </c>
      <c r="E243" s="267"/>
      <c r="F243" s="267"/>
      <c r="G243" s="165">
        <v>0</v>
      </c>
    </row>
    <row r="244" spans="1:7" ht="9.75" hidden="1" customHeight="1" x14ac:dyDescent="0.25">
      <c r="A244" s="167" t="s">
        <v>131</v>
      </c>
      <c r="B244" s="168"/>
      <c r="C244" s="168"/>
      <c r="D244" s="164">
        <f>+VLOOKUP(A230,'[1]CALCULO BS'!$B$6:$AW$1286,37,0)</f>
        <v>0</v>
      </c>
      <c r="E244" s="267"/>
      <c r="F244" s="267"/>
      <c r="G244" s="165">
        <v>0</v>
      </c>
    </row>
    <row r="245" spans="1:7" ht="9.75" hidden="1" customHeight="1" x14ac:dyDescent="0.3">
      <c r="A245" s="170" t="s">
        <v>132</v>
      </c>
      <c r="B245" s="171"/>
      <c r="C245" s="171"/>
      <c r="D245" s="172">
        <v>0</v>
      </c>
      <c r="E245" s="278"/>
      <c r="F245" s="278"/>
      <c r="G245" s="173">
        <v>0</v>
      </c>
    </row>
    <row r="246" spans="1:7" x14ac:dyDescent="0.25">
      <c r="B246" s="279"/>
      <c r="C246" s="279"/>
      <c r="D246" s="279"/>
      <c r="E246" s="280">
        <f>SUM(E233:F245)</f>
        <v>2962.272727272727</v>
      </c>
      <c r="F246" s="280"/>
      <c r="G246" s="174">
        <f>SUM(G233:G245)</f>
        <v>36.372727272727275</v>
      </c>
    </row>
    <row r="247" spans="1:7" x14ac:dyDescent="0.25">
      <c r="C247" s="175"/>
      <c r="E247" s="281" t="s">
        <v>133</v>
      </c>
      <c r="F247" s="282"/>
      <c r="G247" s="176">
        <f>+E246-G246</f>
        <v>2925.8999999999996</v>
      </c>
    </row>
    <row r="248" spans="1:7" ht="15.75" thickBot="1" x14ac:dyDescent="0.3">
      <c r="F248" s="177"/>
      <c r="G248" s="177"/>
    </row>
    <row r="249" spans="1:7" ht="15.75" customHeight="1" x14ac:dyDescent="0.25">
      <c r="F249" s="283" t="s">
        <v>134</v>
      </c>
      <c r="G249" s="283"/>
    </row>
  </sheetData>
  <mergeCells count="266">
    <mergeCell ref="E247:F247"/>
    <mergeCell ref="F249:G249"/>
    <mergeCell ref="A230:B230"/>
    <mergeCell ref="C230:D230"/>
    <mergeCell ref="E230:F230"/>
    <mergeCell ref="A232:B232"/>
    <mergeCell ref="E232:F232"/>
    <mergeCell ref="E233:F233"/>
    <mergeCell ref="E235:F235"/>
    <mergeCell ref="E236:F236"/>
    <mergeCell ref="E237:F237"/>
    <mergeCell ref="E239:F239"/>
    <mergeCell ref="E211:F211"/>
    <mergeCell ref="E212:F212"/>
    <mergeCell ref="E213:F213"/>
    <mergeCell ref="E214:F214"/>
    <mergeCell ref="E215:F215"/>
    <mergeCell ref="A206:B206"/>
    <mergeCell ref="E206:F206"/>
    <mergeCell ref="E207:F207"/>
    <mergeCell ref="B246:D246"/>
    <mergeCell ref="E246:F246"/>
    <mergeCell ref="E241:F241"/>
    <mergeCell ref="E242:F242"/>
    <mergeCell ref="E243:F243"/>
    <mergeCell ref="F195:G195"/>
    <mergeCell ref="A197:G197"/>
    <mergeCell ref="D198:G198"/>
    <mergeCell ref="D199:G199"/>
    <mergeCell ref="D200:G200"/>
    <mergeCell ref="D201:G201"/>
    <mergeCell ref="E208:F208"/>
    <mergeCell ref="E209:F209"/>
    <mergeCell ref="E210:F210"/>
    <mergeCell ref="A203:B203"/>
    <mergeCell ref="C203:D203"/>
    <mergeCell ref="E203:F203"/>
    <mergeCell ref="A204:B204"/>
    <mergeCell ref="C204:D204"/>
    <mergeCell ref="E204:F204"/>
    <mergeCell ref="A223:G223"/>
    <mergeCell ref="D224:G224"/>
    <mergeCell ref="D225:G225"/>
    <mergeCell ref="D226:G226"/>
    <mergeCell ref="D227:G227"/>
    <mergeCell ref="A229:B229"/>
    <mergeCell ref="A177:B177"/>
    <mergeCell ref="C177:D177"/>
    <mergeCell ref="E177:F177"/>
    <mergeCell ref="E184:F184"/>
    <mergeCell ref="E185:F185"/>
    <mergeCell ref="E186:F186"/>
    <mergeCell ref="E187:F187"/>
    <mergeCell ref="E188:F188"/>
    <mergeCell ref="E240:F240"/>
    <mergeCell ref="E189:F189"/>
    <mergeCell ref="E190:F190"/>
    <mergeCell ref="E191:F191"/>
    <mergeCell ref="B192:D192"/>
    <mergeCell ref="E192:F192"/>
    <mergeCell ref="E193:F193"/>
    <mergeCell ref="C229:D229"/>
    <mergeCell ref="E229:F229"/>
    <mergeCell ref="F222:G222"/>
    <mergeCell ref="E216:F216"/>
    <mergeCell ref="E217:F217"/>
    <mergeCell ref="E218:F218"/>
    <mergeCell ref="B219:D219"/>
    <mergeCell ref="E219:F219"/>
    <mergeCell ref="E220:F220"/>
    <mergeCell ref="A170:G170"/>
    <mergeCell ref="D171:G171"/>
    <mergeCell ref="D172:G172"/>
    <mergeCell ref="D173:G173"/>
    <mergeCell ref="D174:G174"/>
    <mergeCell ref="E244:F244"/>
    <mergeCell ref="E245:F245"/>
    <mergeCell ref="F167:G167"/>
    <mergeCell ref="E161:F161"/>
    <mergeCell ref="E162:F162"/>
    <mergeCell ref="E163:F163"/>
    <mergeCell ref="B164:D164"/>
    <mergeCell ref="E164:F164"/>
    <mergeCell ref="E165:F165"/>
    <mergeCell ref="E234:F234"/>
    <mergeCell ref="A179:B179"/>
    <mergeCell ref="E179:F179"/>
    <mergeCell ref="E180:F180"/>
    <mergeCell ref="E181:F181"/>
    <mergeCell ref="E182:F182"/>
    <mergeCell ref="E183:F183"/>
    <mergeCell ref="A176:B176"/>
    <mergeCell ref="C176:D176"/>
    <mergeCell ref="E176:F176"/>
    <mergeCell ref="E156:F156"/>
    <mergeCell ref="E157:F157"/>
    <mergeCell ref="E158:F158"/>
    <mergeCell ref="E159:F159"/>
    <mergeCell ref="E160:F160"/>
    <mergeCell ref="A151:B151"/>
    <mergeCell ref="E151:F151"/>
    <mergeCell ref="E152:F152"/>
    <mergeCell ref="E153:F153"/>
    <mergeCell ref="E154:F154"/>
    <mergeCell ref="E155:F155"/>
    <mergeCell ref="A148:B148"/>
    <mergeCell ref="C148:D148"/>
    <mergeCell ref="E148:F148"/>
    <mergeCell ref="A149:B149"/>
    <mergeCell ref="C149:D149"/>
    <mergeCell ref="E149:F149"/>
    <mergeCell ref="A142:G142"/>
    <mergeCell ref="D143:G143"/>
    <mergeCell ref="D144:G144"/>
    <mergeCell ref="D145:G145"/>
    <mergeCell ref="D146:G146"/>
    <mergeCell ref="F138:G138"/>
    <mergeCell ref="E132:F132"/>
    <mergeCell ref="E133:F133"/>
    <mergeCell ref="E134:F134"/>
    <mergeCell ref="B135:D135"/>
    <mergeCell ref="E135:F135"/>
    <mergeCell ref="E136:F136"/>
    <mergeCell ref="E127:F127"/>
    <mergeCell ref="E128:F128"/>
    <mergeCell ref="E129:F129"/>
    <mergeCell ref="E130:F130"/>
    <mergeCell ref="E131:F131"/>
    <mergeCell ref="A122:B122"/>
    <mergeCell ref="E122:F122"/>
    <mergeCell ref="E123:F123"/>
    <mergeCell ref="E124:F124"/>
    <mergeCell ref="E125:F125"/>
    <mergeCell ref="E126:F126"/>
    <mergeCell ref="A119:B119"/>
    <mergeCell ref="C119:D119"/>
    <mergeCell ref="E119:F119"/>
    <mergeCell ref="A120:B120"/>
    <mergeCell ref="C120:D120"/>
    <mergeCell ref="E120:F120"/>
    <mergeCell ref="F111:G111"/>
    <mergeCell ref="A113:G113"/>
    <mergeCell ref="D114:G114"/>
    <mergeCell ref="D115:G115"/>
    <mergeCell ref="D116:G116"/>
    <mergeCell ref="D117:G117"/>
    <mergeCell ref="E105:F105"/>
    <mergeCell ref="E106:F106"/>
    <mergeCell ref="E107:F107"/>
    <mergeCell ref="B108:D108"/>
    <mergeCell ref="E108:F108"/>
    <mergeCell ref="E109:F109"/>
    <mergeCell ref="E99:F99"/>
    <mergeCell ref="E100:F100"/>
    <mergeCell ref="E101:F101"/>
    <mergeCell ref="E102:F102"/>
    <mergeCell ref="E103:F103"/>
    <mergeCell ref="E104:F104"/>
    <mergeCell ref="A94:B94"/>
    <mergeCell ref="E94:F94"/>
    <mergeCell ref="E95:F95"/>
    <mergeCell ref="E96:F96"/>
    <mergeCell ref="E97:F97"/>
    <mergeCell ref="E98:F98"/>
    <mergeCell ref="A91:B91"/>
    <mergeCell ref="C91:D91"/>
    <mergeCell ref="E91:F91"/>
    <mergeCell ref="A92:B92"/>
    <mergeCell ref="C92:D92"/>
    <mergeCell ref="E92:F92"/>
    <mergeCell ref="F83:G83"/>
    <mergeCell ref="A85:G85"/>
    <mergeCell ref="D86:G86"/>
    <mergeCell ref="D87:G87"/>
    <mergeCell ref="D88:G88"/>
    <mergeCell ref="D89:G89"/>
    <mergeCell ref="E77:F77"/>
    <mergeCell ref="E78:F78"/>
    <mergeCell ref="E79:F79"/>
    <mergeCell ref="B80:D80"/>
    <mergeCell ref="E80:F80"/>
    <mergeCell ref="E81:F81"/>
    <mergeCell ref="E72:F72"/>
    <mergeCell ref="E71:F71"/>
    <mergeCell ref="E73:F73"/>
    <mergeCell ref="E74:F74"/>
    <mergeCell ref="E75:F75"/>
    <mergeCell ref="E76:F76"/>
    <mergeCell ref="A66:B66"/>
    <mergeCell ref="E66:F66"/>
    <mergeCell ref="E67:F67"/>
    <mergeCell ref="E68:F68"/>
    <mergeCell ref="E69:F69"/>
    <mergeCell ref="E70:F70"/>
    <mergeCell ref="A63:B63"/>
    <mergeCell ref="C63:D63"/>
    <mergeCell ref="E63:F63"/>
    <mergeCell ref="A64:B64"/>
    <mergeCell ref="C64:D64"/>
    <mergeCell ref="E64:F64"/>
    <mergeCell ref="F56:G56"/>
    <mergeCell ref="A57:G57"/>
    <mergeCell ref="D58:G58"/>
    <mergeCell ref="D59:G59"/>
    <mergeCell ref="D60:G60"/>
    <mergeCell ref="D61:G61"/>
    <mergeCell ref="E50:F50"/>
    <mergeCell ref="E51:F51"/>
    <mergeCell ref="E52:F52"/>
    <mergeCell ref="B53:D53"/>
    <mergeCell ref="E53:F53"/>
    <mergeCell ref="E54:F54"/>
    <mergeCell ref="E44:F44"/>
    <mergeCell ref="E46:F46"/>
    <mergeCell ref="E47:F47"/>
    <mergeCell ref="E48:F48"/>
    <mergeCell ref="E49:F49"/>
    <mergeCell ref="A39:B39"/>
    <mergeCell ref="E39:F39"/>
    <mergeCell ref="E40:F40"/>
    <mergeCell ref="E41:F41"/>
    <mergeCell ref="E42:F42"/>
    <mergeCell ref="E43:F43"/>
    <mergeCell ref="E45:F45"/>
    <mergeCell ref="A37:B37"/>
    <mergeCell ref="C37:D37"/>
    <mergeCell ref="E37:F37"/>
    <mergeCell ref="F28:G28"/>
    <mergeCell ref="A30:G30"/>
    <mergeCell ref="D31:G31"/>
    <mergeCell ref="D32:G32"/>
    <mergeCell ref="D33:G33"/>
    <mergeCell ref="D34:G34"/>
    <mergeCell ref="E26:F26"/>
    <mergeCell ref="E17:F17"/>
    <mergeCell ref="E18:F18"/>
    <mergeCell ref="E19:F19"/>
    <mergeCell ref="E20:F20"/>
    <mergeCell ref="E21:F21"/>
    <mergeCell ref="A36:B36"/>
    <mergeCell ref="C36:D36"/>
    <mergeCell ref="E36:F36"/>
    <mergeCell ref="A1:G1"/>
    <mergeCell ref="A3:G3"/>
    <mergeCell ref="D4:G4"/>
    <mergeCell ref="D5:G5"/>
    <mergeCell ref="D6:G6"/>
    <mergeCell ref="D7:G7"/>
    <mergeCell ref="E238:F238"/>
    <mergeCell ref="A12:B12"/>
    <mergeCell ref="E12:F12"/>
    <mergeCell ref="E13:F13"/>
    <mergeCell ref="E14:F14"/>
    <mergeCell ref="E15:F15"/>
    <mergeCell ref="E16:F16"/>
    <mergeCell ref="A9:B9"/>
    <mergeCell ref="C9:D9"/>
    <mergeCell ref="E9:F9"/>
    <mergeCell ref="A10:B10"/>
    <mergeCell ref="C10:D10"/>
    <mergeCell ref="E10:F10"/>
    <mergeCell ref="E22:F22"/>
    <mergeCell ref="E23:F23"/>
    <mergeCell ref="E24:F24"/>
    <mergeCell ref="B25:D25"/>
    <mergeCell ref="E25:F25"/>
  </mergeCells>
  <pageMargins left="0.7" right="0.7" top="0.75" bottom="0.75" header="0.3" footer="0.3"/>
  <pageSetup paperSize="9" fitToHeight="0" orientation="portrait" r:id="rId1"/>
  <rowBreaks count="4" manualBreakCount="4">
    <brk id="56" max="6" man="1"/>
    <brk id="112" max="6" man="1"/>
    <brk id="140" max="6" man="1"/>
    <brk id="169" max="6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'CALCULO BS'!$B$7:$B$14</xm:f>
          </x14:formula1>
          <xm:sqref>A10:B10 A37:B37 A64:B64 A92:B92 A120:B120 A149:B149 A177:B177 A204:B204 A230:B230</xm:sqref>
        </x14:dataValidation>
        <x14:dataValidation type="list" allowBlank="1" showInputMessage="1" showErrorMessage="1" xr:uid="{00000000-0002-0000-0400-000001000000}">
          <x14:formula1>
            <xm:f>'C:\Users\RECURSOSHUMANOS.GFO\Documents\NOMINA GFO\NOMINAS RRHH\1- CALCULO NOMINAS GFO FARMA OSPINOS\DICIEMBRE\2 SEMANA\GFO\[NOMINA SEMANAL GFO DEL 08 AL 14-12-2025.xlsx]DATOS'!#REF!</xm:f>
          </x14:formula1>
          <xm:sqref>D31:G31 D58:G58 D86:G86 D114:G114 D143:G143 D171:G171 D198:G198 D4:G4 D224:G224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RESUMEN. TXT</vt:lpstr>
      <vt:lpstr>LISTADOS</vt:lpstr>
      <vt:lpstr>CALCULO BS</vt:lpstr>
      <vt:lpstr>CALCULO BONO </vt:lpstr>
      <vt:lpstr>RC PAGO BS LOS YANEZ</vt:lpstr>
      <vt:lpstr>'CALCULO BONO '!Área_de_impresión</vt:lpstr>
      <vt:lpstr>LISTADOS!Área_de_impresión</vt:lpstr>
      <vt:lpstr>'RC PAGO BS LOS YANEZ'!Área_de_impresión</vt:lpstr>
      <vt:lpstr>'RESUMEN. TXT'!Área_de_impresión</vt:lpstr>
      <vt:lpstr>'CALCULO BONO '!Títulos_a_imprimir</vt:lpstr>
      <vt:lpstr>'RESUMEN. TXT'!Títulos_a_imprimir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RECURSOSHUMANOS.GFO</dc:creator>
  <cp:lastModifiedBy>Pablo Ramirez</cp:lastModifiedBy>
  <dcterms:created xsi:type="dcterms:W3CDTF">2026-01-08T19:31:44Z</dcterms:created>
  <dcterms:modified xsi:type="dcterms:W3CDTF">2026-01-09T15:17:10Z</dcterms:modified>
</cp:coreProperties>
</file>